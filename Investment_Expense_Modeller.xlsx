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0559ca0384bd1/Documents/Github/"/>
    </mc:Choice>
  </mc:AlternateContent>
  <xr:revisionPtr revIDLastSave="0" documentId="8_{BFF84ED6-F516-402C-858C-0E110573FB61}" xr6:coauthVersionLast="47" xr6:coauthVersionMax="47" xr10:uidLastSave="{00000000-0000-0000-0000-000000000000}"/>
  <bookViews>
    <workbookView xWindow="-110" yWindow="-110" windowWidth="19420" windowHeight="10300" xr2:uid="{F03785DA-75CD-41DD-8EF4-C55545CE1EEE}"/>
  </bookViews>
  <sheets>
    <sheet name="Inv_Exp_Modeller" sheetId="1" r:id="rId1"/>
  </sheets>
  <definedNames>
    <definedName name="cah">Inv_Exp_Modeller!$C$10</definedName>
    <definedName name="inv_exp">Inv_Exp_Modeller!$C$6</definedName>
    <definedName name="man_exp">Inv_Exp_Modeller!$C$5</definedName>
    <definedName name="mc">Inv_Exp_Modeller!$D$9</definedName>
    <definedName name="mie">Inv_Exp_Modeller!$D$6</definedName>
    <definedName name="mir">Inv_Exp_Modeller!$D$7</definedName>
    <definedName name="mmc">Inv_Exp_Modeller!$D$5</definedName>
    <definedName name="usie">Inv_Exp_Modeller!$D$22</definedName>
    <definedName name="yc">Inv_Exp_Modeller!$D$9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U18" i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T18" i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G18" i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D9" i="1"/>
  <c r="D7" i="1"/>
  <c r="W6" i="1"/>
  <c r="Y6" i="1" s="1"/>
  <c r="W7" i="1" s="1"/>
  <c r="Y7" i="1" s="1"/>
  <c r="W8" i="1" s="1"/>
  <c r="Y8" i="1" s="1"/>
  <c r="W9" i="1" s="1"/>
  <c r="J6" i="1"/>
  <c r="L6" i="1" s="1"/>
  <c r="D6" i="1"/>
  <c r="D5" i="1"/>
  <c r="X6" i="1" l="1"/>
  <c r="X7" i="1"/>
  <c r="X8" i="1"/>
  <c r="Y9" i="1"/>
  <c r="X9" i="1"/>
  <c r="P6" i="1"/>
  <c r="J7" i="1"/>
  <c r="K6" i="1"/>
  <c r="Z8" i="1"/>
  <c r="AA8" i="1" s="1"/>
  <c r="Z7" i="1"/>
  <c r="AA7" i="1" s="1"/>
  <c r="M7" i="1"/>
  <c r="Z6" i="1"/>
  <c r="AA6" i="1" s="1"/>
  <c r="M6" i="1"/>
  <c r="N6" i="1" s="1"/>
  <c r="O6" i="1" s="1"/>
  <c r="AB6" i="1" s="1"/>
  <c r="Z9" i="1" l="1"/>
  <c r="AA9" i="1" s="1"/>
  <c r="W10" i="1"/>
  <c r="AC6" i="1"/>
  <c r="R6" i="1" s="1"/>
  <c r="L7" i="1"/>
  <c r="K7" i="1"/>
  <c r="N7" i="1" s="1"/>
  <c r="O7" i="1" s="1"/>
  <c r="AB7" i="1" s="1"/>
  <c r="X10" i="1" l="1"/>
  <c r="Y10" i="1"/>
  <c r="AC7" i="1"/>
  <c r="AD7" i="1" s="1"/>
  <c r="J8" i="1"/>
  <c r="P7" i="1"/>
  <c r="W11" i="1" l="1"/>
  <c r="Z10" i="1"/>
  <c r="AA10" i="1" s="1"/>
  <c r="K8" i="1"/>
  <c r="L8" i="1"/>
  <c r="Q7" i="1"/>
  <c r="R7" i="1"/>
  <c r="Y11" i="1" l="1"/>
  <c r="X11" i="1"/>
  <c r="M8" i="1"/>
  <c r="N8" i="1" s="1"/>
  <c r="O8" i="1" s="1"/>
  <c r="AB8" i="1" s="1"/>
  <c r="P8" i="1"/>
  <c r="J9" i="1"/>
  <c r="Z11" i="1" l="1"/>
  <c r="AA11" i="1" s="1"/>
  <c r="W12" i="1"/>
  <c r="AC8" i="1"/>
  <c r="AD8" i="1" s="1"/>
  <c r="Q8" i="1"/>
  <c r="R8" i="1"/>
  <c r="K9" i="1"/>
  <c r="L9" i="1"/>
  <c r="Y12" i="1" l="1"/>
  <c r="X12" i="1"/>
  <c r="M9" i="1"/>
  <c r="N9" i="1" s="1"/>
  <c r="O9" i="1" s="1"/>
  <c r="AB9" i="1" s="1"/>
  <c r="P9" i="1"/>
  <c r="J10" i="1"/>
  <c r="W13" i="1" l="1"/>
  <c r="Z12" i="1"/>
  <c r="AA12" i="1" s="1"/>
  <c r="AC9" i="1"/>
  <c r="AD9" i="1" s="1"/>
  <c r="Q9" i="1"/>
  <c r="R9" i="1"/>
  <c r="K10" i="1"/>
  <c r="L10" i="1"/>
  <c r="X13" i="1" l="1"/>
  <c r="Y13" i="1"/>
  <c r="M10" i="1"/>
  <c r="N10" i="1" s="1"/>
  <c r="O10" i="1" s="1"/>
  <c r="AB10" i="1" s="1"/>
  <c r="P10" i="1"/>
  <c r="J11" i="1"/>
  <c r="Z13" i="1" l="1"/>
  <c r="AA13" i="1" s="1"/>
  <c r="W14" i="1"/>
  <c r="AC10" i="1"/>
  <c r="AD10" i="1" s="1"/>
  <c r="Q10" i="1"/>
  <c r="R10" i="1"/>
  <c r="K11" i="1"/>
  <c r="L11" i="1"/>
  <c r="X14" i="1" l="1"/>
  <c r="Y14" i="1"/>
  <c r="P11" i="1"/>
  <c r="J12" i="1"/>
  <c r="M11" i="1"/>
  <c r="N11" i="1" s="1"/>
  <c r="O11" i="1" s="1"/>
  <c r="AB11" i="1" s="1"/>
  <c r="Z14" i="1" l="1"/>
  <c r="AA14" i="1" s="1"/>
  <c r="W15" i="1"/>
  <c r="Q11" i="1"/>
  <c r="L12" i="1"/>
  <c r="K12" i="1"/>
  <c r="AC11" i="1"/>
  <c r="X15" i="1" l="1"/>
  <c r="Y15" i="1"/>
  <c r="P12" i="1"/>
  <c r="J13" i="1"/>
  <c r="M12" i="1"/>
  <c r="N12" i="1" s="1"/>
  <c r="O12" i="1" s="1"/>
  <c r="AB12" i="1" s="1"/>
  <c r="AC12" i="1"/>
  <c r="AD12" i="1" s="1"/>
  <c r="AD11" i="1"/>
  <c r="R11" i="1"/>
  <c r="Z15" i="1" l="1"/>
  <c r="AA15" i="1" s="1"/>
  <c r="W16" i="1"/>
  <c r="R12" i="1"/>
  <c r="Q12" i="1"/>
  <c r="K13" i="1"/>
  <c r="L13" i="1"/>
  <c r="X16" i="1" l="1"/>
  <c r="Y16" i="1"/>
  <c r="M13" i="1"/>
  <c r="N13" i="1" s="1"/>
  <c r="O13" i="1" s="1"/>
  <c r="AB13" i="1" s="1"/>
  <c r="P13" i="1"/>
  <c r="J14" i="1"/>
  <c r="Z16" i="1" l="1"/>
  <c r="AA16" i="1" s="1"/>
  <c r="W17" i="1"/>
  <c r="AC13" i="1"/>
  <c r="AD13" i="1" s="1"/>
  <c r="Q13" i="1"/>
  <c r="R13" i="1"/>
  <c r="K14" i="1"/>
  <c r="L14" i="1"/>
  <c r="X17" i="1" l="1"/>
  <c r="Y17" i="1"/>
  <c r="M14" i="1"/>
  <c r="N14" i="1" s="1"/>
  <c r="O14" i="1" s="1"/>
  <c r="AB14" i="1" s="1"/>
  <c r="P14" i="1"/>
  <c r="J15" i="1"/>
  <c r="Z17" i="1" l="1"/>
  <c r="AA17" i="1" s="1"/>
  <c r="W18" i="1"/>
  <c r="AC14" i="1"/>
  <c r="AD14" i="1" s="1"/>
  <c r="Q14" i="1"/>
  <c r="R14" i="1"/>
  <c r="K15" i="1"/>
  <c r="L15" i="1"/>
  <c r="X18" i="1" l="1"/>
  <c r="Y18" i="1"/>
  <c r="M15" i="1"/>
  <c r="N15" i="1" s="1"/>
  <c r="O15" i="1" s="1"/>
  <c r="AB15" i="1" s="1"/>
  <c r="P15" i="1"/>
  <c r="J16" i="1"/>
  <c r="Z18" i="1" l="1"/>
  <c r="AA18" i="1" s="1"/>
  <c r="W19" i="1"/>
  <c r="AC15" i="1"/>
  <c r="Q15" i="1"/>
  <c r="K16" i="1"/>
  <c r="L16" i="1"/>
  <c r="X19" i="1" l="1"/>
  <c r="Y19" i="1"/>
  <c r="M16" i="1"/>
  <c r="N16" i="1" s="1"/>
  <c r="O16" i="1" s="1"/>
  <c r="AB16" i="1" s="1"/>
  <c r="P16" i="1"/>
  <c r="J17" i="1"/>
  <c r="AD15" i="1"/>
  <c r="R15" i="1"/>
  <c r="Z19" i="1" l="1"/>
  <c r="AA19" i="1" s="1"/>
  <c r="W20" i="1"/>
  <c r="AC16" i="1"/>
  <c r="Q16" i="1"/>
  <c r="K17" i="1"/>
  <c r="L17" i="1"/>
  <c r="X20" i="1" l="1"/>
  <c r="Y20" i="1"/>
  <c r="M17" i="1"/>
  <c r="N17" i="1" s="1"/>
  <c r="O17" i="1" s="1"/>
  <c r="AB17" i="1" s="1"/>
  <c r="P17" i="1"/>
  <c r="J18" i="1"/>
  <c r="AD16" i="1"/>
  <c r="R16" i="1"/>
  <c r="Z20" i="1" l="1"/>
  <c r="AA20" i="1" s="1"/>
  <c r="W21" i="1"/>
  <c r="AC17" i="1"/>
  <c r="AD17" i="1" s="1"/>
  <c r="Q17" i="1"/>
  <c r="R17" i="1"/>
  <c r="K18" i="1"/>
  <c r="L18" i="1"/>
  <c r="X21" i="1" l="1"/>
  <c r="Y21" i="1"/>
  <c r="M18" i="1"/>
  <c r="N18" i="1" s="1"/>
  <c r="O18" i="1" s="1"/>
  <c r="AB18" i="1" s="1"/>
  <c r="P18" i="1"/>
  <c r="J19" i="1"/>
  <c r="W22" i="1" l="1"/>
  <c r="Z21" i="1"/>
  <c r="AA21" i="1" s="1"/>
  <c r="AC18" i="1"/>
  <c r="AD18" i="1" s="1"/>
  <c r="Q18" i="1"/>
  <c r="R18" i="1"/>
  <c r="K19" i="1"/>
  <c r="L19" i="1"/>
  <c r="X22" i="1" l="1"/>
  <c r="Y22" i="1"/>
  <c r="M19" i="1"/>
  <c r="N19" i="1" s="1"/>
  <c r="O19" i="1" s="1"/>
  <c r="AB19" i="1" s="1"/>
  <c r="P19" i="1"/>
  <c r="J20" i="1"/>
  <c r="Z22" i="1" l="1"/>
  <c r="AA22" i="1" s="1"/>
  <c r="W23" i="1"/>
  <c r="AC19" i="1"/>
  <c r="AD19" i="1" s="1"/>
  <c r="Q19" i="1"/>
  <c r="R19" i="1"/>
  <c r="K20" i="1"/>
  <c r="L20" i="1"/>
  <c r="X23" i="1" l="1"/>
  <c r="Y23" i="1"/>
  <c r="M20" i="1"/>
  <c r="N20" i="1" s="1"/>
  <c r="O20" i="1" s="1"/>
  <c r="AB20" i="1" s="1"/>
  <c r="P20" i="1"/>
  <c r="J21" i="1"/>
  <c r="W24" i="1" l="1"/>
  <c r="Z23" i="1"/>
  <c r="AA23" i="1" s="1"/>
  <c r="AC20" i="1"/>
  <c r="Q20" i="1"/>
  <c r="K21" i="1"/>
  <c r="L21" i="1"/>
  <c r="X24" i="1" l="1"/>
  <c r="Y24" i="1"/>
  <c r="M21" i="1"/>
  <c r="N21" i="1" s="1"/>
  <c r="O21" i="1" s="1"/>
  <c r="AB21" i="1" s="1"/>
  <c r="P21" i="1"/>
  <c r="J22" i="1"/>
  <c r="AD20" i="1"/>
  <c r="R20" i="1"/>
  <c r="Z24" i="1" l="1"/>
  <c r="AA24" i="1" s="1"/>
  <c r="W25" i="1"/>
  <c r="AC21" i="1"/>
  <c r="Q21" i="1"/>
  <c r="L22" i="1"/>
  <c r="K22" i="1"/>
  <c r="X25" i="1" l="1"/>
  <c r="Y25" i="1"/>
  <c r="J23" i="1"/>
  <c r="M22" i="1"/>
  <c r="N22" i="1" s="1"/>
  <c r="O22" i="1" s="1"/>
  <c r="AB22" i="1" s="1"/>
  <c r="P22" i="1"/>
  <c r="AD21" i="1"/>
  <c r="R21" i="1"/>
  <c r="Z25" i="1" l="1"/>
  <c r="AA25" i="1" s="1"/>
  <c r="W26" i="1"/>
  <c r="K23" i="1"/>
  <c r="L23" i="1"/>
  <c r="AC22" i="1"/>
  <c r="AD22" i="1" s="1"/>
  <c r="R22" i="1"/>
  <c r="Q22" i="1"/>
  <c r="X26" i="1" l="1"/>
  <c r="Y26" i="1"/>
  <c r="P23" i="1"/>
  <c r="J24" i="1"/>
  <c r="M23" i="1"/>
  <c r="N23" i="1" s="1"/>
  <c r="O23" i="1" s="1"/>
  <c r="AB23" i="1" s="1"/>
  <c r="AC23" i="1"/>
  <c r="AD23" i="1" s="1"/>
  <c r="Z26" i="1" l="1"/>
  <c r="AA26" i="1" s="1"/>
  <c r="W27" i="1"/>
  <c r="Q23" i="1"/>
  <c r="R23" i="1"/>
  <c r="L24" i="1"/>
  <c r="K24" i="1"/>
  <c r="X27" i="1" l="1"/>
  <c r="Y27" i="1"/>
  <c r="P24" i="1"/>
  <c r="J25" i="1"/>
  <c r="M24" i="1"/>
  <c r="N24" i="1" s="1"/>
  <c r="O24" i="1" s="1"/>
  <c r="AB24" i="1" s="1"/>
  <c r="Z27" i="1" l="1"/>
  <c r="AA27" i="1" s="1"/>
  <c r="W28" i="1"/>
  <c r="Q24" i="1"/>
  <c r="L25" i="1"/>
  <c r="K25" i="1"/>
  <c r="AC24" i="1"/>
  <c r="X28" i="1" l="1"/>
  <c r="Y28" i="1"/>
  <c r="M25" i="1"/>
  <c r="N25" i="1" s="1"/>
  <c r="O25" i="1" s="1"/>
  <c r="AB25" i="1" s="1"/>
  <c r="P25" i="1"/>
  <c r="J26" i="1"/>
  <c r="AD24" i="1"/>
  <c r="R24" i="1"/>
  <c r="Z28" i="1" l="1"/>
  <c r="AA28" i="1" s="1"/>
  <c r="W29" i="1"/>
  <c r="Q25" i="1"/>
  <c r="K26" i="1"/>
  <c r="L26" i="1"/>
  <c r="AC25" i="1"/>
  <c r="X29" i="1" l="1"/>
  <c r="Y29" i="1"/>
  <c r="P26" i="1"/>
  <c r="J27" i="1"/>
  <c r="M26" i="1"/>
  <c r="N26" i="1" s="1"/>
  <c r="O26" i="1" s="1"/>
  <c r="AB26" i="1" s="1"/>
  <c r="AC26" i="1"/>
  <c r="AD26" i="1" s="1"/>
  <c r="AD25" i="1"/>
  <c r="R25" i="1"/>
  <c r="Z29" i="1" l="1"/>
  <c r="AA29" i="1" s="1"/>
  <c r="W30" i="1"/>
  <c r="Q26" i="1"/>
  <c r="R26" i="1"/>
  <c r="K27" i="1"/>
  <c r="L27" i="1"/>
  <c r="X30" i="1" l="1"/>
  <c r="Y30" i="1"/>
  <c r="M27" i="1"/>
  <c r="N27" i="1" s="1"/>
  <c r="O27" i="1" s="1"/>
  <c r="AB27" i="1" s="1"/>
  <c r="P27" i="1"/>
  <c r="J28" i="1"/>
  <c r="Z30" i="1" l="1"/>
  <c r="AA30" i="1" s="1"/>
  <c r="W31" i="1"/>
  <c r="AC27" i="1"/>
  <c r="Q27" i="1"/>
  <c r="K28" i="1"/>
  <c r="L28" i="1"/>
  <c r="X31" i="1" l="1"/>
  <c r="Y31" i="1"/>
  <c r="M28" i="1"/>
  <c r="N28" i="1" s="1"/>
  <c r="O28" i="1" s="1"/>
  <c r="AB28" i="1" s="1"/>
  <c r="P28" i="1"/>
  <c r="J29" i="1"/>
  <c r="AD27" i="1"/>
  <c r="R27" i="1"/>
  <c r="Z31" i="1" l="1"/>
  <c r="AA31" i="1" s="1"/>
  <c r="W32" i="1"/>
  <c r="AC28" i="1"/>
  <c r="Q28" i="1"/>
  <c r="K29" i="1"/>
  <c r="L29" i="1"/>
  <c r="X32" i="1" l="1"/>
  <c r="Y32" i="1"/>
  <c r="M29" i="1"/>
  <c r="N29" i="1" s="1"/>
  <c r="O29" i="1" s="1"/>
  <c r="AB29" i="1" s="1"/>
  <c r="P29" i="1"/>
  <c r="J30" i="1"/>
  <c r="AD28" i="1"/>
  <c r="R28" i="1"/>
  <c r="W33" i="1" l="1"/>
  <c r="Z32" i="1"/>
  <c r="AA32" i="1" s="1"/>
  <c r="AC29" i="1"/>
  <c r="AD29" i="1" s="1"/>
  <c r="Q29" i="1"/>
  <c r="R29" i="1"/>
  <c r="K30" i="1"/>
  <c r="L30" i="1"/>
  <c r="X33" i="1" l="1"/>
  <c r="Y33" i="1"/>
  <c r="M30" i="1"/>
  <c r="N30" i="1" s="1"/>
  <c r="O30" i="1" s="1"/>
  <c r="AB30" i="1" s="1"/>
  <c r="P30" i="1"/>
  <c r="J31" i="1"/>
  <c r="Z33" i="1" l="1"/>
  <c r="AA33" i="1" s="1"/>
  <c r="W34" i="1"/>
  <c r="AC30" i="1"/>
  <c r="AD30" i="1" s="1"/>
  <c r="Q30" i="1"/>
  <c r="R30" i="1"/>
  <c r="K31" i="1"/>
  <c r="L31" i="1"/>
  <c r="X34" i="1" l="1"/>
  <c r="Y34" i="1"/>
  <c r="M31" i="1"/>
  <c r="N31" i="1" s="1"/>
  <c r="O31" i="1" s="1"/>
  <c r="AB31" i="1" s="1"/>
  <c r="P31" i="1"/>
  <c r="J32" i="1"/>
  <c r="W35" i="1" l="1"/>
  <c r="Z34" i="1"/>
  <c r="AA34" i="1" s="1"/>
  <c r="AC31" i="1"/>
  <c r="AD31" i="1" s="1"/>
  <c r="Q31" i="1"/>
  <c r="R31" i="1"/>
  <c r="K32" i="1"/>
  <c r="L32" i="1"/>
  <c r="X35" i="1" l="1"/>
  <c r="Y35" i="1"/>
  <c r="M32" i="1"/>
  <c r="N32" i="1" s="1"/>
  <c r="O32" i="1" s="1"/>
  <c r="AB32" i="1" s="1"/>
  <c r="P32" i="1"/>
  <c r="J33" i="1"/>
  <c r="W36" i="1" l="1"/>
  <c r="Z35" i="1"/>
  <c r="AA35" i="1" s="1"/>
  <c r="AC32" i="1"/>
  <c r="AD32" i="1" s="1"/>
  <c r="Q32" i="1"/>
  <c r="R32" i="1"/>
  <c r="L33" i="1"/>
  <c r="K33" i="1"/>
  <c r="X36" i="1" l="1"/>
  <c r="Y36" i="1"/>
  <c r="M33" i="1"/>
  <c r="N33" i="1" s="1"/>
  <c r="O33" i="1" s="1"/>
  <c r="AB33" i="1" s="1"/>
  <c r="P33" i="1"/>
  <c r="J34" i="1"/>
  <c r="Z36" i="1" l="1"/>
  <c r="AA36" i="1" s="1"/>
  <c r="W37" i="1"/>
  <c r="AC33" i="1"/>
  <c r="AD33" i="1" s="1"/>
  <c r="Q33" i="1"/>
  <c r="R33" i="1"/>
  <c r="L34" i="1"/>
  <c r="K34" i="1"/>
  <c r="X37" i="1" l="1"/>
  <c r="Y37" i="1"/>
  <c r="M34" i="1"/>
  <c r="N34" i="1" s="1"/>
  <c r="O34" i="1" s="1"/>
  <c r="AB34" i="1" s="1"/>
  <c r="P34" i="1"/>
  <c r="J35" i="1"/>
  <c r="Z37" i="1" l="1"/>
  <c r="AA37" i="1" s="1"/>
  <c r="W38" i="1"/>
  <c r="AC34" i="1"/>
  <c r="AD34" i="1" s="1"/>
  <c r="Q34" i="1"/>
  <c r="R34" i="1"/>
  <c r="K35" i="1"/>
  <c r="L35" i="1"/>
  <c r="X38" i="1" l="1"/>
  <c r="Y38" i="1"/>
  <c r="M35" i="1"/>
  <c r="N35" i="1" s="1"/>
  <c r="O35" i="1" s="1"/>
  <c r="AB35" i="1" s="1"/>
  <c r="P35" i="1"/>
  <c r="J36" i="1"/>
  <c r="Z38" i="1" l="1"/>
  <c r="AA38" i="1" s="1"/>
  <c r="W39" i="1"/>
  <c r="AC35" i="1"/>
  <c r="AD35" i="1" s="1"/>
  <c r="R35" i="1"/>
  <c r="Q35" i="1"/>
  <c r="K36" i="1"/>
  <c r="L36" i="1"/>
  <c r="X39" i="1" l="1"/>
  <c r="Y39" i="1"/>
  <c r="P36" i="1"/>
  <c r="J37" i="1"/>
  <c r="M36" i="1"/>
  <c r="N36" i="1" s="1"/>
  <c r="O36" i="1" s="1"/>
  <c r="AB36" i="1" s="1"/>
  <c r="Z39" i="1" l="1"/>
  <c r="AA39" i="1" s="1"/>
  <c r="W40" i="1"/>
  <c r="Q36" i="1"/>
  <c r="K37" i="1"/>
  <c r="L37" i="1"/>
  <c r="AC36" i="1"/>
  <c r="X40" i="1" l="1"/>
  <c r="Y40" i="1"/>
  <c r="M37" i="1"/>
  <c r="N37" i="1" s="1"/>
  <c r="O37" i="1" s="1"/>
  <c r="AB37" i="1" s="1"/>
  <c r="P37" i="1"/>
  <c r="J38" i="1"/>
  <c r="AD36" i="1"/>
  <c r="R36" i="1"/>
  <c r="Z40" i="1" l="1"/>
  <c r="AA40" i="1" s="1"/>
  <c r="W41" i="1"/>
  <c r="Q37" i="1"/>
  <c r="K38" i="1"/>
  <c r="L38" i="1"/>
  <c r="AC37" i="1"/>
  <c r="X41" i="1" l="1"/>
  <c r="Y41" i="1"/>
  <c r="M38" i="1"/>
  <c r="N38" i="1" s="1"/>
  <c r="O38" i="1" s="1"/>
  <c r="AB38" i="1" s="1"/>
  <c r="P38" i="1"/>
  <c r="J39" i="1"/>
  <c r="AD37" i="1"/>
  <c r="R37" i="1"/>
  <c r="Z41" i="1" l="1"/>
  <c r="AA41" i="1" s="1"/>
  <c r="W42" i="1"/>
  <c r="Q38" i="1"/>
  <c r="K39" i="1"/>
  <c r="L39" i="1"/>
  <c r="AC38" i="1"/>
  <c r="X42" i="1" l="1"/>
  <c r="Y42" i="1"/>
  <c r="Z42" i="1" s="1"/>
  <c r="AA42" i="1" s="1"/>
  <c r="M39" i="1"/>
  <c r="N39" i="1" s="1"/>
  <c r="O39" i="1" s="1"/>
  <c r="AB39" i="1" s="1"/>
  <c r="P39" i="1"/>
  <c r="J40" i="1"/>
  <c r="AC39" i="1"/>
  <c r="AD39" i="1" s="1"/>
  <c r="AD38" i="1"/>
  <c r="R38" i="1"/>
  <c r="R39" i="1" l="1"/>
  <c r="Q39" i="1"/>
  <c r="K40" i="1"/>
  <c r="L40" i="1"/>
  <c r="M40" i="1" l="1"/>
  <c r="N40" i="1" s="1"/>
  <c r="O40" i="1" s="1"/>
  <c r="AB40" i="1" s="1"/>
  <c r="P40" i="1"/>
  <c r="J41" i="1"/>
  <c r="AC40" i="1" l="1"/>
  <c r="AD40" i="1" s="1"/>
  <c r="Q40" i="1"/>
  <c r="R40" i="1"/>
  <c r="K41" i="1"/>
  <c r="L41" i="1"/>
  <c r="M41" i="1" l="1"/>
  <c r="N41" i="1" s="1"/>
  <c r="O41" i="1" s="1"/>
  <c r="AB41" i="1" s="1"/>
  <c r="J42" i="1"/>
  <c r="P41" i="1"/>
  <c r="AC41" i="1" l="1"/>
  <c r="AD41" i="1" s="1"/>
  <c r="K42" i="1"/>
  <c r="L42" i="1"/>
  <c r="R41" i="1"/>
  <c r="Q41" i="1"/>
  <c r="M42" i="1" l="1"/>
  <c r="N42" i="1" s="1"/>
  <c r="O42" i="1" s="1"/>
  <c r="AB42" i="1" s="1"/>
  <c r="AC42" i="1" s="1"/>
  <c r="AD42" i="1" s="1"/>
  <c r="P42" i="1"/>
  <c r="Q42" i="1" l="1"/>
  <c r="R42" i="1"/>
</calcChain>
</file>

<file path=xl/sharedStrings.xml><?xml version="1.0" encoding="utf-8"?>
<sst xmlns="http://schemas.openxmlformats.org/spreadsheetml/2006/main" count="125" uniqueCount="41">
  <si>
    <t>LISA Portfolio Modeller</t>
  </si>
  <si>
    <t>Vanguard FTSE Global All Cap World Index (Acc)</t>
  </si>
  <si>
    <t>Parameters</t>
  </si>
  <si>
    <t>P.M. (Per Month)</t>
  </si>
  <si>
    <t>Total</t>
  </si>
  <si>
    <t>Vanguard US Equity Index (Acc)</t>
  </si>
  <si>
    <t>Monthly Account Fee</t>
  </si>
  <si>
    <t xml:space="preserve">Month </t>
  </si>
  <si>
    <t>Step</t>
  </si>
  <si>
    <t>Time (Months)</t>
  </si>
  <si>
    <t xml:space="preserve">CF In     </t>
  </si>
  <si>
    <t>Investment Value</t>
  </si>
  <si>
    <t>Investment Expenses</t>
  </si>
  <si>
    <t>Total Investment Value</t>
  </si>
  <si>
    <t>Account Management Fee</t>
  </si>
  <si>
    <t>Total Fees</t>
  </si>
  <si>
    <t>Cash at Hand</t>
  </si>
  <si>
    <t>Final Account Value</t>
  </si>
  <si>
    <t>Grwth rate minus Fees</t>
  </si>
  <si>
    <t xml:space="preserve">Investment Expense </t>
  </si>
  <si>
    <t>Dec</t>
  </si>
  <si>
    <t>Int rate</t>
  </si>
  <si>
    <t>Jan</t>
  </si>
  <si>
    <t>Starting Value</t>
  </si>
  <si>
    <t>Feb</t>
  </si>
  <si>
    <t>Yearly Contribution</t>
  </si>
  <si>
    <t>Mar</t>
  </si>
  <si>
    <t>Apr</t>
  </si>
  <si>
    <t>May</t>
  </si>
  <si>
    <t>Assumptions</t>
  </si>
  <si>
    <t>Jun</t>
  </si>
  <si>
    <t>Would start from 0 if conts. Were at end of month</t>
  </si>
  <si>
    <t>Jul</t>
  </si>
  <si>
    <t>Investments are made at the beginning of each month</t>
  </si>
  <si>
    <t>Aug</t>
  </si>
  <si>
    <t>Sep</t>
  </si>
  <si>
    <t>Oct</t>
  </si>
  <si>
    <t>Nov</t>
  </si>
  <si>
    <t>Same as above</t>
  </si>
  <si>
    <t>Investment Expense</t>
  </si>
  <si>
    <t>Sama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</si>
</sst>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10" fontId="0" fillId="0" borderId="2" xfId="1" applyNumberFormat="1" applyFont="1" applyBorder="1"/>
    <xf numFmtId="10" fontId="0" fillId="0" borderId="1" xfId="1" applyNumberFormat="1" applyFont="1" applyBorder="1"/>
    <xf numFmtId="10" fontId="0" fillId="0" borderId="0" xfId="1" applyNumberFormat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/>
    <xf numFmtId="10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2" fillId="0" borderId="4" xfId="0" applyFont="1" applyBorder="1"/>
    <xf numFmtId="10" fontId="0" fillId="0" borderId="2" xfId="1" applyNumberFormat="1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C3D1-8135-410E-A239-11409D3F8687}">
  <dimension ref="A1:AD42"/>
  <sheetViews>
    <sheetView tabSelected="1" zoomScale="75" zoomScaleNormal="75" workbookViewId="0">
      <selection activeCell="C22" sqref="C22"/>
    </sheetView>
  </sheetViews>
  <sheetFormatPr defaultRowHeight="14.5" x14ac:dyDescent="0.35"/>
  <cols>
    <col min="2" max="2" width="21.54296875" bestFit="1" customWidth="1"/>
    <col min="3" max="3" width="15.7265625" bestFit="1" customWidth="1"/>
    <col min="4" max="4" width="21" bestFit="1" customWidth="1"/>
    <col min="5" max="5" width="9.54296875" customWidth="1"/>
    <col min="6" max="6" width="8.7265625" style="2"/>
    <col min="7" max="8" width="12.7265625" style="2" bestFit="1" customWidth="1"/>
    <col min="9" max="9" width="13.7265625" customWidth="1"/>
    <col min="10" max="10" width="15.26953125" bestFit="1" customWidth="1"/>
    <col min="11" max="11" width="18.453125" bestFit="1" customWidth="1"/>
    <col min="12" max="12" width="18.453125" customWidth="1"/>
    <col min="13" max="13" width="22.453125" bestFit="1" customWidth="1"/>
    <col min="14" max="14" width="9.1796875" bestFit="1" customWidth="1"/>
    <col min="15" max="15" width="11.6328125" bestFit="1" customWidth="1"/>
    <col min="16" max="16" width="19.1796875" bestFit="1" customWidth="1"/>
    <col min="17" max="17" width="22.81640625" style="2" bestFit="1" customWidth="1"/>
    <col min="18" max="18" width="15.36328125" style="2" customWidth="1"/>
    <col min="19" max="19" width="7.7265625" bestFit="1" customWidth="1"/>
    <col min="20" max="20" width="5.54296875" bestFit="1" customWidth="1"/>
    <col min="21" max="21" width="15.36328125" bestFit="1" customWidth="1"/>
    <col min="22" max="22" width="9.90625" bestFit="1" customWidth="1"/>
    <col min="23" max="23" width="17.7265625" bestFit="1" customWidth="1"/>
    <col min="24" max="24" width="21.90625" bestFit="1" customWidth="1"/>
    <col min="25" max="25" width="23.1796875" bestFit="1" customWidth="1"/>
    <col min="26" max="26" width="26.453125" bestFit="1" customWidth="1"/>
    <col min="27" max="27" width="11" bestFit="1" customWidth="1"/>
    <col min="28" max="28" width="13.90625" bestFit="1" customWidth="1"/>
    <col min="29" max="29" width="20.6328125" bestFit="1" customWidth="1"/>
    <col min="30" max="30" width="22.81640625" bestFit="1" customWidth="1"/>
  </cols>
  <sheetData>
    <row r="1" spans="1:30" x14ac:dyDescent="0.35">
      <c r="A1" s="1" t="s">
        <v>0</v>
      </c>
    </row>
    <row r="3" spans="1:30" x14ac:dyDescent="0.35">
      <c r="B3" s="3" t="s">
        <v>1</v>
      </c>
    </row>
    <row r="4" spans="1:30" x14ac:dyDescent="0.35">
      <c r="B4" s="4" t="s">
        <v>2</v>
      </c>
      <c r="D4" s="4" t="s">
        <v>3</v>
      </c>
      <c r="E4" s="1"/>
      <c r="F4" s="3" t="s">
        <v>1</v>
      </c>
      <c r="R4" s="5" t="s">
        <v>4</v>
      </c>
      <c r="S4" s="1" t="s">
        <v>5</v>
      </c>
    </row>
    <row r="5" spans="1:30" x14ac:dyDescent="0.35">
      <c r="B5" s="6" t="s">
        <v>6</v>
      </c>
      <c r="C5" s="7">
        <v>2.5000000000000001E-3</v>
      </c>
      <c r="D5" s="8">
        <f>C5/12</f>
        <v>2.0833333333333335E-4</v>
      </c>
      <c r="E5" s="9"/>
      <c r="F5" s="10" t="s">
        <v>7</v>
      </c>
      <c r="G5" s="10" t="s">
        <v>8</v>
      </c>
      <c r="H5" s="10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11" t="s">
        <v>18</v>
      </c>
      <c r="R5" s="12"/>
      <c r="S5" s="13" t="s">
        <v>7</v>
      </c>
      <c r="T5" s="10" t="s">
        <v>8</v>
      </c>
      <c r="U5" s="10" t="s">
        <v>9</v>
      </c>
      <c r="V5" s="6" t="s">
        <v>10</v>
      </c>
      <c r="W5" s="6" t="s">
        <v>11</v>
      </c>
      <c r="X5" s="6" t="s">
        <v>12</v>
      </c>
      <c r="Y5" s="6" t="s">
        <v>13</v>
      </c>
      <c r="Z5" s="6" t="s">
        <v>14</v>
      </c>
      <c r="AA5" s="6" t="s">
        <v>15</v>
      </c>
      <c r="AB5" s="6" t="s">
        <v>16</v>
      </c>
      <c r="AC5" s="6" t="s">
        <v>17</v>
      </c>
      <c r="AD5" s="10" t="s">
        <v>18</v>
      </c>
    </row>
    <row r="6" spans="1:30" x14ac:dyDescent="0.35">
      <c r="B6" s="6" t="s">
        <v>19</v>
      </c>
      <c r="C6" s="7">
        <v>2.3E-3</v>
      </c>
      <c r="D6" s="8">
        <f>inv_exp/12</f>
        <v>1.9166666666666667E-4</v>
      </c>
      <c r="E6" s="9"/>
      <c r="F6" s="10" t="s">
        <v>20</v>
      </c>
      <c r="G6" s="10">
        <v>1</v>
      </c>
      <c r="H6" s="14">
        <v>1</v>
      </c>
      <c r="I6" s="15">
        <v>100</v>
      </c>
      <c r="J6" s="15">
        <f>C8</f>
        <v>6067.1</v>
      </c>
      <c r="K6" s="15">
        <f t="shared" ref="K6:K42" si="0">mie*J6</f>
        <v>1.1628608333333335</v>
      </c>
      <c r="L6" s="15">
        <f t="shared" ref="L6:L42" si="1">I6+J6</f>
        <v>6167.1</v>
      </c>
      <c r="M6" s="15">
        <f t="shared" ref="M6:M42" si="2">mmc*L6</f>
        <v>1.2848125000000001</v>
      </c>
      <c r="N6" s="15">
        <f t="shared" ref="N6:N42" si="3">M6+K6</f>
        <v>2.4476733333333334</v>
      </c>
      <c r="O6" s="15">
        <f>cah-N6</f>
        <v>10.812326666666667</v>
      </c>
      <c r="P6" s="15">
        <f>L6</f>
        <v>6167.1</v>
      </c>
      <c r="Q6" s="16"/>
      <c r="R6" s="17">
        <f>P6+AC6</f>
        <v>6628.2109512500001</v>
      </c>
      <c r="S6" s="10" t="s">
        <v>20</v>
      </c>
      <c r="T6" s="10">
        <v>1</v>
      </c>
      <c r="U6" s="14">
        <v>1</v>
      </c>
      <c r="V6" s="15">
        <v>0</v>
      </c>
      <c r="W6" s="15">
        <f>C24</f>
        <v>450.43</v>
      </c>
      <c r="X6" s="15">
        <f t="shared" ref="X6:X42" si="4">usie*W6</f>
        <v>3.7535833333333331E-2</v>
      </c>
      <c r="Y6" s="15">
        <f t="shared" ref="Y6:Y42" si="5">V6+W6</f>
        <v>450.43</v>
      </c>
      <c r="Z6" s="15">
        <f t="shared" ref="Z6:Z42" si="6">mmc*Y6</f>
        <v>9.3839583333333337E-2</v>
      </c>
      <c r="AA6" s="15">
        <f t="shared" ref="AA6:AA42" si="7">Z6+X6</f>
        <v>0.13137541666666666</v>
      </c>
      <c r="AB6" s="15">
        <f>O6-AA6</f>
        <v>10.680951250000001</v>
      </c>
      <c r="AC6" s="15">
        <f>AB6+Y6</f>
        <v>461.11095125000003</v>
      </c>
      <c r="AD6" s="16"/>
    </row>
    <row r="7" spans="1:30" x14ac:dyDescent="0.35">
      <c r="B7" s="6" t="s">
        <v>21</v>
      </c>
      <c r="C7" s="7">
        <v>0.06</v>
      </c>
      <c r="D7" s="8">
        <f>C7/12</f>
        <v>5.0000000000000001E-3</v>
      </c>
      <c r="E7" s="9"/>
      <c r="F7" s="10" t="s">
        <v>22</v>
      </c>
      <c r="G7" s="10">
        <v>2</v>
      </c>
      <c r="H7" s="14">
        <v>2</v>
      </c>
      <c r="I7" s="15">
        <v>0</v>
      </c>
      <c r="J7" s="15">
        <f>L6*(1+mir)^0</f>
        <v>6167.1</v>
      </c>
      <c r="K7" s="15">
        <f t="shared" si="0"/>
        <v>1.1820275</v>
      </c>
      <c r="L7" s="15">
        <f t="shared" si="1"/>
        <v>6167.1</v>
      </c>
      <c r="M7" s="15">
        <f t="shared" si="2"/>
        <v>1.2848125000000001</v>
      </c>
      <c r="N7" s="15">
        <f t="shared" si="3"/>
        <v>2.4668400000000004</v>
      </c>
      <c r="O7" s="15">
        <f>AB6-N7</f>
        <v>8.214111250000002</v>
      </c>
      <c r="P7" s="15">
        <f t="shared" ref="P7:P42" si="8">L7</f>
        <v>6167.1</v>
      </c>
      <c r="Q7" s="16">
        <f>(P7-P6)/P6</f>
        <v>0</v>
      </c>
      <c r="R7" s="17">
        <f t="shared" ref="R7:R42" si="9">P7+AC7</f>
        <v>6625.6127358333333</v>
      </c>
      <c r="S7" s="10" t="s">
        <v>22</v>
      </c>
      <c r="T7" s="10">
        <v>2</v>
      </c>
      <c r="U7" s="14">
        <v>2</v>
      </c>
      <c r="V7" s="15">
        <v>0</v>
      </c>
      <c r="W7" s="15">
        <f>Y6*(1+mir)^0</f>
        <v>450.43</v>
      </c>
      <c r="X7" s="15">
        <f t="shared" si="4"/>
        <v>3.7535833333333331E-2</v>
      </c>
      <c r="Y7" s="15">
        <f t="shared" si="5"/>
        <v>450.43</v>
      </c>
      <c r="Z7" s="15">
        <f t="shared" si="6"/>
        <v>9.3839583333333337E-2</v>
      </c>
      <c r="AA7" s="15">
        <f t="shared" si="7"/>
        <v>0.13137541666666666</v>
      </c>
      <c r="AB7" s="15">
        <f>O7-AA7</f>
        <v>8.0827358333333361</v>
      </c>
      <c r="AC7" s="15">
        <f t="shared" ref="AC7:AC9" si="10">AB7+Y7</f>
        <v>458.51273583333335</v>
      </c>
      <c r="AD7" s="16">
        <f>(AC7-AC6)/AC6</f>
        <v>-5.634685989615554E-3</v>
      </c>
    </row>
    <row r="8" spans="1:30" x14ac:dyDescent="0.35">
      <c r="B8" s="6" t="s">
        <v>23</v>
      </c>
      <c r="C8" s="18">
        <v>6067.1</v>
      </c>
      <c r="D8" s="15"/>
      <c r="E8" s="19"/>
      <c r="F8" s="10" t="s">
        <v>24</v>
      </c>
      <c r="G8" s="10">
        <v>3</v>
      </c>
      <c r="H8" s="14">
        <v>3</v>
      </c>
      <c r="I8" s="15">
        <v>0</v>
      </c>
      <c r="J8" s="15">
        <f t="shared" ref="J8:J42" si="11">L7*(1+mir)</f>
        <v>6197.9354999999996</v>
      </c>
      <c r="K8" s="15">
        <f t="shared" si="0"/>
        <v>1.1879376374999999</v>
      </c>
      <c r="L8" s="15">
        <f t="shared" si="1"/>
        <v>6197.9354999999996</v>
      </c>
      <c r="M8" s="15">
        <f t="shared" si="2"/>
        <v>1.2912365625</v>
      </c>
      <c r="N8" s="15">
        <f t="shared" si="3"/>
        <v>2.4791742000000001</v>
      </c>
      <c r="O8" s="15">
        <f t="shared" ref="O8:O42" si="12">AB7-N8</f>
        <v>5.603561633333336</v>
      </c>
      <c r="P8" s="15">
        <f t="shared" si="8"/>
        <v>6197.9354999999996</v>
      </c>
      <c r="Q8" s="16">
        <f t="shared" ref="Q8:Q42" si="13">(P8-P7)/P7</f>
        <v>4.9999999999998743E-3</v>
      </c>
      <c r="R8" s="17">
        <f t="shared" si="9"/>
        <v>6656.0891793395831</v>
      </c>
      <c r="S8" s="10" t="s">
        <v>24</v>
      </c>
      <c r="T8" s="10">
        <v>3</v>
      </c>
      <c r="U8" s="14">
        <v>3</v>
      </c>
      <c r="V8" s="15">
        <v>0</v>
      </c>
      <c r="W8" s="15">
        <f t="shared" ref="W8:W42" si="14">Y7*(1+mir)</f>
        <v>452.68214999999998</v>
      </c>
      <c r="X8" s="15">
        <f t="shared" si="4"/>
        <v>3.7723512499999994E-2</v>
      </c>
      <c r="Y8" s="15">
        <f t="shared" si="5"/>
        <v>452.68214999999998</v>
      </c>
      <c r="Z8" s="15">
        <f t="shared" si="6"/>
        <v>9.4308781250000001E-2</v>
      </c>
      <c r="AA8" s="15">
        <f t="shared" si="7"/>
        <v>0.13203229375</v>
      </c>
      <c r="AB8" s="15">
        <f t="shared" ref="AB8:AB42" si="15">O8-AA8</f>
        <v>5.471529339583336</v>
      </c>
      <c r="AC8" s="15">
        <f t="shared" si="10"/>
        <v>458.15367933958333</v>
      </c>
      <c r="AD8" s="16">
        <f t="shared" ref="AD8:AD42" si="16">(AC8-AC7)/AC7</f>
        <v>-7.8308946663704557E-4</v>
      </c>
    </row>
    <row r="9" spans="1:30" x14ac:dyDescent="0.35">
      <c r="B9" s="6" t="s">
        <v>25</v>
      </c>
      <c r="C9" s="18">
        <v>4000</v>
      </c>
      <c r="D9" s="15">
        <f>C9/12</f>
        <v>333.33333333333331</v>
      </c>
      <c r="E9" s="19"/>
      <c r="F9" s="10" t="s">
        <v>26</v>
      </c>
      <c r="G9" s="10">
        <v>4</v>
      </c>
      <c r="H9" s="14">
        <v>4</v>
      </c>
      <c r="I9" s="15">
        <v>0</v>
      </c>
      <c r="J9" s="15">
        <f t="shared" si="11"/>
        <v>6228.9251774999993</v>
      </c>
      <c r="K9" s="15">
        <f t="shared" si="0"/>
        <v>1.1938773256874999</v>
      </c>
      <c r="L9" s="15">
        <f t="shared" si="1"/>
        <v>6228.9251774999993</v>
      </c>
      <c r="M9" s="15">
        <f t="shared" si="2"/>
        <v>1.2976927453125</v>
      </c>
      <c r="N9" s="15">
        <f t="shared" si="3"/>
        <v>2.4915700709999999</v>
      </c>
      <c r="O9" s="15">
        <f t="shared" si="12"/>
        <v>2.979959268583336</v>
      </c>
      <c r="P9" s="15">
        <f t="shared" si="8"/>
        <v>6228.9251774999993</v>
      </c>
      <c r="Q9" s="16">
        <f t="shared" si="13"/>
        <v>4.9999999999999593E-3</v>
      </c>
      <c r="R9" s="17">
        <f t="shared" si="9"/>
        <v>6686.7180050633642</v>
      </c>
      <c r="S9" s="10" t="s">
        <v>26</v>
      </c>
      <c r="T9" s="10">
        <v>4</v>
      </c>
      <c r="U9" s="14">
        <v>4</v>
      </c>
      <c r="V9" s="15">
        <v>0</v>
      </c>
      <c r="W9" s="15">
        <f t="shared" si="14"/>
        <v>454.94556074999991</v>
      </c>
      <c r="X9" s="15">
        <f t="shared" si="4"/>
        <v>3.7912130062499994E-2</v>
      </c>
      <c r="Y9" s="15">
        <f t="shared" si="5"/>
        <v>454.94556074999991</v>
      </c>
      <c r="Z9" s="15">
        <f t="shared" si="6"/>
        <v>9.4780325156249984E-2</v>
      </c>
      <c r="AA9" s="15">
        <f t="shared" si="7"/>
        <v>0.13269245521874998</v>
      </c>
      <c r="AB9" s="15">
        <f t="shared" si="15"/>
        <v>2.8472668133645862</v>
      </c>
      <c r="AC9" s="15">
        <f t="shared" si="10"/>
        <v>457.79282756336448</v>
      </c>
      <c r="AD9" s="16">
        <f t="shared" si="16"/>
        <v>-7.8762169222128633E-4</v>
      </c>
    </row>
    <row r="10" spans="1:30" x14ac:dyDescent="0.35">
      <c r="B10" s="6" t="s">
        <v>16</v>
      </c>
      <c r="C10" s="15">
        <v>13.26</v>
      </c>
      <c r="F10" s="10" t="s">
        <v>27</v>
      </c>
      <c r="G10" s="10">
        <v>5</v>
      </c>
      <c r="H10" s="20">
        <v>5</v>
      </c>
      <c r="I10" s="15">
        <v>3500</v>
      </c>
      <c r="J10" s="15">
        <f t="shared" si="11"/>
        <v>6260.0698033874987</v>
      </c>
      <c r="K10" s="15">
        <f t="shared" si="0"/>
        <v>1.1998467123159373</v>
      </c>
      <c r="L10" s="15">
        <f t="shared" si="1"/>
        <v>9760.0698033874978</v>
      </c>
      <c r="M10" s="15">
        <f t="shared" si="2"/>
        <v>2.0333478757057288</v>
      </c>
      <c r="N10" s="15">
        <f t="shared" si="3"/>
        <v>3.2331945880216661</v>
      </c>
      <c r="O10" s="15">
        <f t="shared" si="12"/>
        <v>-0.38592777465707995</v>
      </c>
      <c r="P10" s="15">
        <f t="shared" si="8"/>
        <v>9760.0698033874978</v>
      </c>
      <c r="Q10" s="16">
        <f t="shared" si="13"/>
        <v>0.56689469294680717</v>
      </c>
      <c r="R10" s="17">
        <f t="shared" si="9"/>
        <v>10716.666641582429</v>
      </c>
      <c r="S10" s="10" t="s">
        <v>27</v>
      </c>
      <c r="T10" s="10">
        <v>5</v>
      </c>
      <c r="U10" s="20">
        <v>5</v>
      </c>
      <c r="V10" s="15">
        <v>500</v>
      </c>
      <c r="W10" s="15">
        <f t="shared" si="14"/>
        <v>457.22028855374987</v>
      </c>
      <c r="X10" s="15">
        <f t="shared" si="4"/>
        <v>3.810169071281249E-2</v>
      </c>
      <c r="Y10" s="15">
        <f t="shared" si="5"/>
        <v>957.22028855374992</v>
      </c>
      <c r="Z10" s="15">
        <f t="shared" si="6"/>
        <v>0.1994208934486979</v>
      </c>
      <c r="AA10" s="15">
        <f t="shared" si="7"/>
        <v>0.2375225841615104</v>
      </c>
      <c r="AB10" s="15">
        <f t="shared" si="15"/>
        <v>-0.62345035881859034</v>
      </c>
      <c r="AC10" s="15">
        <f>AB10+Y10</f>
        <v>956.59683819493137</v>
      </c>
      <c r="AD10" s="16">
        <f t="shared" si="16"/>
        <v>1.0895845906684196</v>
      </c>
    </row>
    <row r="11" spans="1:30" x14ac:dyDescent="0.35">
      <c r="F11" s="10" t="s">
        <v>28</v>
      </c>
      <c r="G11" s="10">
        <v>6</v>
      </c>
      <c r="H11" s="20">
        <v>6</v>
      </c>
      <c r="I11" s="15">
        <v>0</v>
      </c>
      <c r="J11" s="15">
        <f t="shared" si="11"/>
        <v>9808.8701524044336</v>
      </c>
      <c r="K11" s="15">
        <f t="shared" si="0"/>
        <v>1.8800334458775165</v>
      </c>
      <c r="L11" s="15">
        <f t="shared" si="1"/>
        <v>9808.8701524044336</v>
      </c>
      <c r="M11" s="15">
        <f t="shared" si="2"/>
        <v>2.0435146150842569</v>
      </c>
      <c r="N11" s="15">
        <f t="shared" si="3"/>
        <v>3.9235480609617737</v>
      </c>
      <c r="O11" s="15">
        <f t="shared" si="12"/>
        <v>-4.5469984197803637</v>
      </c>
      <c r="P11" s="15">
        <f t="shared" si="8"/>
        <v>9808.8701524044336</v>
      </c>
      <c r="Q11" s="16">
        <f t="shared" si="13"/>
        <v>4.9999999999998266E-3</v>
      </c>
      <c r="R11" s="17">
        <f t="shared" si="9"/>
        <v>10766.048958784089</v>
      </c>
      <c r="S11" s="10" t="s">
        <v>28</v>
      </c>
      <c r="T11" s="10">
        <v>6</v>
      </c>
      <c r="U11" s="20">
        <v>6</v>
      </c>
      <c r="V11" s="15">
        <v>0</v>
      </c>
      <c r="W11" s="15">
        <f t="shared" si="14"/>
        <v>962.00638999651858</v>
      </c>
      <c r="X11" s="15">
        <f t="shared" si="4"/>
        <v>8.0167199166376546E-2</v>
      </c>
      <c r="Y11" s="15">
        <f t="shared" si="5"/>
        <v>962.00638999651858</v>
      </c>
      <c r="Z11" s="15">
        <f t="shared" si="6"/>
        <v>0.20041799791594139</v>
      </c>
      <c r="AA11" s="15">
        <f t="shared" si="7"/>
        <v>0.28058519708231794</v>
      </c>
      <c r="AB11" s="15">
        <f t="shared" si="15"/>
        <v>-4.8275836168626816</v>
      </c>
      <c r="AC11" s="15">
        <f t="shared" ref="AC11:AC42" si="17">AB11+Y11</f>
        <v>957.17880637965595</v>
      </c>
      <c r="AD11" s="16">
        <f t="shared" si="16"/>
        <v>6.083735190080111E-4</v>
      </c>
    </row>
    <row r="12" spans="1:30" x14ac:dyDescent="0.35">
      <c r="B12" s="4" t="s">
        <v>29</v>
      </c>
      <c r="F12" s="10" t="s">
        <v>30</v>
      </c>
      <c r="G12" s="10">
        <v>7</v>
      </c>
      <c r="H12" s="20">
        <v>7</v>
      </c>
      <c r="I12" s="15">
        <v>0</v>
      </c>
      <c r="J12" s="15">
        <f t="shared" si="11"/>
        <v>9857.9145031664539</v>
      </c>
      <c r="K12" s="15">
        <f t="shared" si="0"/>
        <v>1.8894336131069036</v>
      </c>
      <c r="L12" s="15">
        <f t="shared" si="1"/>
        <v>9857.9145031664539</v>
      </c>
      <c r="M12" s="15">
        <f t="shared" si="2"/>
        <v>2.0537321881596782</v>
      </c>
      <c r="N12" s="15">
        <f t="shared" si="3"/>
        <v>3.9431658012665816</v>
      </c>
      <c r="O12" s="15">
        <f t="shared" si="12"/>
        <v>-8.7707494181292631</v>
      </c>
      <c r="P12" s="15">
        <f t="shared" si="8"/>
        <v>9857.9145031664539</v>
      </c>
      <c r="Q12" s="16">
        <f t="shared" si="13"/>
        <v>4.9999999999998049E-3</v>
      </c>
      <c r="R12" s="17">
        <f t="shared" si="9"/>
        <v>10815.678187571759</v>
      </c>
      <c r="S12" s="10" t="s">
        <v>30</v>
      </c>
      <c r="T12" s="10">
        <v>7</v>
      </c>
      <c r="U12" s="20">
        <v>7</v>
      </c>
      <c r="V12" s="15">
        <v>0</v>
      </c>
      <c r="W12" s="15">
        <f t="shared" si="14"/>
        <v>966.81642194650112</v>
      </c>
      <c r="X12" s="15">
        <f t="shared" si="4"/>
        <v>8.0568035162208423E-2</v>
      </c>
      <c r="Y12" s="15">
        <f t="shared" si="5"/>
        <v>966.81642194650112</v>
      </c>
      <c r="Z12" s="15">
        <f t="shared" si="6"/>
        <v>0.20142008790552107</v>
      </c>
      <c r="AA12" s="15">
        <f t="shared" si="7"/>
        <v>0.28198812306772947</v>
      </c>
      <c r="AB12" s="15">
        <f t="shared" si="15"/>
        <v>-9.0527375411969935</v>
      </c>
      <c r="AC12" s="15">
        <f t="shared" si="17"/>
        <v>957.76368440530416</v>
      </c>
      <c r="AD12" s="16">
        <f t="shared" si="16"/>
        <v>6.1104364383118435E-4</v>
      </c>
    </row>
    <row r="13" spans="1:30" x14ac:dyDescent="0.35">
      <c r="B13" s="6" t="s">
        <v>31</v>
      </c>
      <c r="F13" s="10" t="s">
        <v>32</v>
      </c>
      <c r="G13" s="10">
        <v>8</v>
      </c>
      <c r="H13" s="20">
        <v>8</v>
      </c>
      <c r="I13" s="15">
        <v>0</v>
      </c>
      <c r="J13" s="15">
        <f t="shared" si="11"/>
        <v>9907.2040756822844</v>
      </c>
      <c r="K13" s="15">
        <f t="shared" si="0"/>
        <v>1.898880781172438</v>
      </c>
      <c r="L13" s="15">
        <f t="shared" si="1"/>
        <v>9907.2040756822844</v>
      </c>
      <c r="M13" s="15">
        <f t="shared" si="2"/>
        <v>2.0640008491004762</v>
      </c>
      <c r="N13" s="15">
        <f t="shared" si="3"/>
        <v>3.9628816302729142</v>
      </c>
      <c r="O13" s="15">
        <f t="shared" si="12"/>
        <v>-13.015619171469908</v>
      </c>
      <c r="P13" s="15">
        <f t="shared" si="8"/>
        <v>9907.2040756822844</v>
      </c>
      <c r="Q13" s="16">
        <f t="shared" si="13"/>
        <v>4.9999999999998223E-3</v>
      </c>
      <c r="R13" s="17">
        <f t="shared" si="9"/>
        <v>10865.555562503365</v>
      </c>
      <c r="S13" s="10" t="s">
        <v>32</v>
      </c>
      <c r="T13" s="10">
        <v>8</v>
      </c>
      <c r="U13" s="20">
        <v>8</v>
      </c>
      <c r="V13" s="15">
        <v>0</v>
      </c>
      <c r="W13" s="15">
        <f t="shared" si="14"/>
        <v>971.65050405623356</v>
      </c>
      <c r="X13" s="15">
        <f t="shared" si="4"/>
        <v>8.0970875338019457E-2</v>
      </c>
      <c r="Y13" s="15">
        <f t="shared" si="5"/>
        <v>971.65050405623356</v>
      </c>
      <c r="Z13" s="15">
        <f t="shared" si="6"/>
        <v>0.20242718834504866</v>
      </c>
      <c r="AA13" s="15">
        <f t="shared" si="7"/>
        <v>0.28339806368306814</v>
      </c>
      <c r="AB13" s="15">
        <f t="shared" si="15"/>
        <v>-13.299017235152975</v>
      </c>
      <c r="AC13" s="15">
        <f t="shared" si="17"/>
        <v>958.35148682108058</v>
      </c>
      <c r="AD13" s="16">
        <f t="shared" si="16"/>
        <v>6.1372384999270669E-4</v>
      </c>
    </row>
    <row r="14" spans="1:30" x14ac:dyDescent="0.35">
      <c r="B14" s="6" t="s">
        <v>33</v>
      </c>
      <c r="F14" s="10" t="s">
        <v>34</v>
      </c>
      <c r="G14" s="10">
        <v>9</v>
      </c>
      <c r="H14" s="20">
        <v>9</v>
      </c>
      <c r="I14" s="15">
        <v>0</v>
      </c>
      <c r="J14" s="15">
        <f t="shared" si="11"/>
        <v>9956.7400960606956</v>
      </c>
      <c r="K14" s="15">
        <f t="shared" si="0"/>
        <v>1.9083751850783</v>
      </c>
      <c r="L14" s="15">
        <f t="shared" si="1"/>
        <v>9956.7400960606956</v>
      </c>
      <c r="M14" s="15">
        <f t="shared" si="2"/>
        <v>2.0743208533459785</v>
      </c>
      <c r="N14" s="15">
        <f t="shared" si="3"/>
        <v>3.9826960384242787</v>
      </c>
      <c r="O14" s="15">
        <f t="shared" si="12"/>
        <v>-17.281713273577253</v>
      </c>
      <c r="P14" s="15">
        <f t="shared" si="8"/>
        <v>9956.7400960606956</v>
      </c>
      <c r="Q14" s="16">
        <f t="shared" si="13"/>
        <v>4.9999999999999767E-3</v>
      </c>
      <c r="R14" s="17">
        <f t="shared" si="9"/>
        <v>10915.682324309631</v>
      </c>
      <c r="S14" s="10" t="s">
        <v>34</v>
      </c>
      <c r="T14" s="10">
        <v>9</v>
      </c>
      <c r="U14" s="20">
        <v>9</v>
      </c>
      <c r="V14" s="15">
        <v>0</v>
      </c>
      <c r="W14" s="15">
        <f t="shared" si="14"/>
        <v>976.50875657651466</v>
      </c>
      <c r="X14" s="15">
        <f t="shared" si="4"/>
        <v>8.1375729714709549E-2</v>
      </c>
      <c r="Y14" s="15">
        <f t="shared" si="5"/>
        <v>976.50875657651466</v>
      </c>
      <c r="Z14" s="15">
        <f t="shared" si="6"/>
        <v>0.20343932428677389</v>
      </c>
      <c r="AA14" s="15">
        <f t="shared" si="7"/>
        <v>0.28481505400148344</v>
      </c>
      <c r="AB14" s="15">
        <f t="shared" si="15"/>
        <v>-17.566528327578737</v>
      </c>
      <c r="AC14" s="15">
        <f t="shared" si="17"/>
        <v>958.94222824893586</v>
      </c>
      <c r="AD14" s="16">
        <f t="shared" si="16"/>
        <v>6.1641416117045819E-4</v>
      </c>
    </row>
    <row r="15" spans="1:30" x14ac:dyDescent="0.35">
      <c r="F15" s="10" t="s">
        <v>35</v>
      </c>
      <c r="G15" s="10">
        <v>10</v>
      </c>
      <c r="H15" s="20">
        <v>10</v>
      </c>
      <c r="I15" s="15">
        <v>0</v>
      </c>
      <c r="J15" s="15">
        <f t="shared" si="11"/>
        <v>10006.523796540998</v>
      </c>
      <c r="K15" s="15">
        <f t="shared" si="0"/>
        <v>1.9179170610036913</v>
      </c>
      <c r="L15" s="15">
        <f t="shared" si="1"/>
        <v>10006.523796540998</v>
      </c>
      <c r="M15" s="15">
        <f t="shared" si="2"/>
        <v>2.0846924576127082</v>
      </c>
      <c r="N15" s="15">
        <f t="shared" si="3"/>
        <v>4.0026095186163992</v>
      </c>
      <c r="O15" s="15">
        <f t="shared" si="12"/>
        <v>-21.569137846195137</v>
      </c>
      <c r="P15" s="15">
        <f t="shared" si="8"/>
        <v>10006.523796540998</v>
      </c>
      <c r="Q15" s="16">
        <f t="shared" si="13"/>
        <v>4.9999999999998804E-3</v>
      </c>
      <c r="R15" s="17">
        <f t="shared" si="9"/>
        <v>10966.059719924928</v>
      </c>
      <c r="S15" s="10" t="s">
        <v>35</v>
      </c>
      <c r="T15" s="10">
        <v>10</v>
      </c>
      <c r="U15" s="20">
        <v>10</v>
      </c>
      <c r="V15" s="15">
        <v>0</v>
      </c>
      <c r="W15" s="15">
        <f t="shared" si="14"/>
        <v>981.39130035939718</v>
      </c>
      <c r="X15" s="15">
        <f t="shared" si="4"/>
        <v>8.1782608363283091E-2</v>
      </c>
      <c r="Y15" s="15">
        <f t="shared" si="5"/>
        <v>981.39130035939718</v>
      </c>
      <c r="Z15" s="15">
        <f t="shared" si="6"/>
        <v>0.20445652090820776</v>
      </c>
      <c r="AA15" s="15">
        <f t="shared" si="7"/>
        <v>0.28623912927149087</v>
      </c>
      <c r="AB15" s="15">
        <f t="shared" si="15"/>
        <v>-21.855376975466626</v>
      </c>
      <c r="AC15" s="15">
        <f t="shared" si="17"/>
        <v>959.53592338393059</v>
      </c>
      <c r="AD15" s="16">
        <f t="shared" si="16"/>
        <v>6.1911460096907142E-4</v>
      </c>
    </row>
    <row r="16" spans="1:30" x14ac:dyDescent="0.35">
      <c r="F16" s="10" t="s">
        <v>36</v>
      </c>
      <c r="G16" s="10">
        <v>11</v>
      </c>
      <c r="H16" s="20">
        <v>11</v>
      </c>
      <c r="I16" s="15">
        <v>0</v>
      </c>
      <c r="J16" s="15">
        <f t="shared" si="11"/>
        <v>10056.556415523703</v>
      </c>
      <c r="K16" s="15">
        <f t="shared" si="0"/>
        <v>1.9275066463087096</v>
      </c>
      <c r="L16" s="15">
        <f t="shared" si="1"/>
        <v>10056.556415523703</v>
      </c>
      <c r="M16" s="15">
        <f t="shared" si="2"/>
        <v>2.0951159199007714</v>
      </c>
      <c r="N16" s="15">
        <f t="shared" si="3"/>
        <v>4.0226225662094812</v>
      </c>
      <c r="O16" s="15">
        <f t="shared" si="12"/>
        <v>-25.877999541676107</v>
      </c>
      <c r="P16" s="15">
        <f t="shared" si="8"/>
        <v>10056.556415523703</v>
      </c>
      <c r="Q16" s="16">
        <f t="shared" si="13"/>
        <v>4.9999999999999671E-3</v>
      </c>
      <c r="R16" s="17">
        <f t="shared" si="9"/>
        <v>11016.689002518302</v>
      </c>
      <c r="S16" s="10" t="s">
        <v>36</v>
      </c>
      <c r="T16" s="10">
        <v>11</v>
      </c>
      <c r="U16" s="20">
        <v>11</v>
      </c>
      <c r="V16" s="15">
        <v>0</v>
      </c>
      <c r="W16" s="15">
        <f t="shared" si="14"/>
        <v>986.29825686119409</v>
      </c>
      <c r="X16" s="15">
        <f t="shared" si="4"/>
        <v>8.2191521405099499E-2</v>
      </c>
      <c r="Y16" s="15">
        <f t="shared" si="5"/>
        <v>986.29825686119409</v>
      </c>
      <c r="Z16" s="15">
        <f t="shared" si="6"/>
        <v>0.20547880351274878</v>
      </c>
      <c r="AA16" s="15">
        <f t="shared" si="7"/>
        <v>0.28767032491784827</v>
      </c>
      <c r="AB16" s="15">
        <f t="shared" si="15"/>
        <v>-26.165669866593955</v>
      </c>
      <c r="AC16" s="15">
        <f t="shared" si="17"/>
        <v>960.13258699460016</v>
      </c>
      <c r="AD16" s="16">
        <f t="shared" si="16"/>
        <v>6.2182519291758523E-4</v>
      </c>
    </row>
    <row r="17" spans="2:30" x14ac:dyDescent="0.35">
      <c r="F17" s="10" t="s">
        <v>37</v>
      </c>
      <c r="G17" s="10">
        <v>12</v>
      </c>
      <c r="H17" s="20">
        <v>12</v>
      </c>
      <c r="I17" s="15">
        <v>0</v>
      </c>
      <c r="J17" s="15">
        <f t="shared" si="11"/>
        <v>10106.839197601321</v>
      </c>
      <c r="K17" s="15">
        <f t="shared" si="0"/>
        <v>1.9371441795402533</v>
      </c>
      <c r="L17" s="15">
        <f t="shared" si="1"/>
        <v>10106.839197601321</v>
      </c>
      <c r="M17" s="15">
        <f t="shared" si="2"/>
        <v>2.1055914995002754</v>
      </c>
      <c r="N17" s="15">
        <f t="shared" si="3"/>
        <v>4.0427356790405291</v>
      </c>
      <c r="O17" s="15">
        <f t="shared" si="12"/>
        <v>-30.208405545634484</v>
      </c>
      <c r="P17" s="15">
        <f t="shared" si="8"/>
        <v>10106.839197601321</v>
      </c>
      <c r="Q17" s="16">
        <f t="shared" si="13"/>
        <v>4.999999999999981E-3</v>
      </c>
      <c r="R17" s="17">
        <f t="shared" si="9"/>
        <v>11067.571431524644</v>
      </c>
      <c r="S17" s="10" t="s">
        <v>37</v>
      </c>
      <c r="T17" s="10">
        <v>12</v>
      </c>
      <c r="U17" s="20">
        <v>12</v>
      </c>
      <c r="V17" s="15">
        <v>0</v>
      </c>
      <c r="W17" s="15">
        <f t="shared" si="14"/>
        <v>991.22974814549991</v>
      </c>
      <c r="X17" s="15">
        <f t="shared" si="4"/>
        <v>8.2602479012124988E-2</v>
      </c>
      <c r="Y17" s="15">
        <f t="shared" si="5"/>
        <v>991.22974814549991</v>
      </c>
      <c r="Z17" s="15">
        <f t="shared" si="6"/>
        <v>0.20650619753031249</v>
      </c>
      <c r="AA17" s="15">
        <f t="shared" si="7"/>
        <v>0.28910867654243749</v>
      </c>
      <c r="AB17" s="15">
        <f t="shared" si="15"/>
        <v>-30.497514222176921</v>
      </c>
      <c r="AC17" s="15">
        <f t="shared" si="17"/>
        <v>960.73223392332295</v>
      </c>
      <c r="AD17" s="16">
        <f t="shared" si="16"/>
        <v>6.2454596046969033E-4</v>
      </c>
    </row>
    <row r="18" spans="2:30" x14ac:dyDescent="0.35">
      <c r="F18" s="10" t="s">
        <v>20</v>
      </c>
      <c r="G18" s="10">
        <f>G17+1</f>
        <v>13</v>
      </c>
      <c r="H18" s="20">
        <f>H17+1</f>
        <v>13</v>
      </c>
      <c r="I18" s="15">
        <v>0</v>
      </c>
      <c r="J18" s="15">
        <f t="shared" si="11"/>
        <v>10157.373393589327</v>
      </c>
      <c r="K18" s="15">
        <f t="shared" si="0"/>
        <v>1.9468299004379543</v>
      </c>
      <c r="L18" s="15">
        <f t="shared" si="1"/>
        <v>10157.373393589327</v>
      </c>
      <c r="M18" s="15">
        <f t="shared" si="2"/>
        <v>2.1161194569977764</v>
      </c>
      <c r="N18" s="15">
        <f t="shared" si="3"/>
        <v>4.0629493574357305</v>
      </c>
      <c r="O18" s="15">
        <f t="shared" si="12"/>
        <v>-34.560463579612652</v>
      </c>
      <c r="P18" s="15">
        <f t="shared" si="8"/>
        <v>10157.373393589327</v>
      </c>
      <c r="Q18" s="16">
        <f t="shared" si="13"/>
        <v>4.9999999999999507E-3</v>
      </c>
      <c r="R18" s="17">
        <f t="shared" si="9"/>
        <v>11118.708272676016</v>
      </c>
      <c r="S18" s="10" t="s">
        <v>20</v>
      </c>
      <c r="T18" s="10">
        <f>T17+1</f>
        <v>13</v>
      </c>
      <c r="U18" s="20">
        <f>U17+1</f>
        <v>13</v>
      </c>
      <c r="V18" s="15">
        <v>0</v>
      </c>
      <c r="W18" s="15">
        <f t="shared" si="14"/>
        <v>996.18589688622728</v>
      </c>
      <c r="X18" s="15">
        <f t="shared" si="4"/>
        <v>8.3015491407185601E-2</v>
      </c>
      <c r="Y18" s="15">
        <f t="shared" si="5"/>
        <v>996.18589688622728</v>
      </c>
      <c r="Z18" s="15">
        <f t="shared" si="6"/>
        <v>0.20753872851796404</v>
      </c>
      <c r="AA18" s="15">
        <f t="shared" si="7"/>
        <v>0.29055421992514963</v>
      </c>
      <c r="AB18" s="15">
        <f t="shared" si="15"/>
        <v>-34.8510177995378</v>
      </c>
      <c r="AC18" s="15">
        <f t="shared" si="17"/>
        <v>961.33487908668951</v>
      </c>
      <c r="AD18" s="16">
        <f t="shared" si="16"/>
        <v>6.2727692700134587E-4</v>
      </c>
    </row>
    <row r="19" spans="2:30" x14ac:dyDescent="0.35">
      <c r="B19" s="1" t="s">
        <v>5</v>
      </c>
      <c r="F19" s="10" t="s">
        <v>22</v>
      </c>
      <c r="G19" s="10">
        <f t="shared" ref="G19:H34" si="18">G18+1</f>
        <v>14</v>
      </c>
      <c r="H19" s="20">
        <f t="shared" si="18"/>
        <v>14</v>
      </c>
      <c r="I19" s="15">
        <v>0</v>
      </c>
      <c r="J19" s="15">
        <f t="shared" si="11"/>
        <v>10208.160260557272</v>
      </c>
      <c r="K19" s="15">
        <f t="shared" si="0"/>
        <v>1.9565640499401438</v>
      </c>
      <c r="L19" s="15">
        <f t="shared" si="1"/>
        <v>10208.160260557272</v>
      </c>
      <c r="M19" s="15">
        <f t="shared" si="2"/>
        <v>2.126700054282765</v>
      </c>
      <c r="N19" s="15">
        <f t="shared" si="3"/>
        <v>4.0832641042229092</v>
      </c>
      <c r="O19" s="15">
        <f t="shared" si="12"/>
        <v>-38.934281903760706</v>
      </c>
      <c r="P19" s="15">
        <f t="shared" si="8"/>
        <v>10208.160260557272</v>
      </c>
      <c r="Q19" s="16">
        <f t="shared" si="13"/>
        <v>4.9999999999998058E-3</v>
      </c>
      <c r="R19" s="17">
        <f t="shared" si="9"/>
        <v>11170.100798033145</v>
      </c>
      <c r="S19" s="10" t="s">
        <v>22</v>
      </c>
      <c r="T19" s="10">
        <f t="shared" ref="T19:U34" si="19">T18+1</f>
        <v>14</v>
      </c>
      <c r="U19" s="20">
        <f t="shared" si="19"/>
        <v>14</v>
      </c>
      <c r="V19" s="15">
        <v>0</v>
      </c>
      <c r="W19" s="15">
        <f t="shared" si="14"/>
        <v>1001.1668263706583</v>
      </c>
      <c r="X19" s="15">
        <f t="shared" si="4"/>
        <v>8.3430568864221524E-2</v>
      </c>
      <c r="Y19" s="15">
        <f t="shared" si="5"/>
        <v>1001.1668263706583</v>
      </c>
      <c r="Z19" s="15">
        <f t="shared" si="6"/>
        <v>0.20857642216055383</v>
      </c>
      <c r="AA19" s="15">
        <f t="shared" si="7"/>
        <v>0.29200699102477534</v>
      </c>
      <c r="AB19" s="15">
        <f t="shared" si="15"/>
        <v>-39.226288894785483</v>
      </c>
      <c r="AC19" s="15">
        <f t="shared" si="17"/>
        <v>961.94053747587282</v>
      </c>
      <c r="AD19" s="16">
        <f t="shared" si="16"/>
        <v>6.300181158086206E-4</v>
      </c>
    </row>
    <row r="20" spans="2:30" x14ac:dyDescent="0.35">
      <c r="B20" s="4" t="s">
        <v>2</v>
      </c>
      <c r="D20" s="21" t="s">
        <v>3</v>
      </c>
      <c r="F20" s="10" t="s">
        <v>24</v>
      </c>
      <c r="G20" s="10">
        <f t="shared" si="18"/>
        <v>15</v>
      </c>
      <c r="H20" s="20">
        <f t="shared" si="18"/>
        <v>15</v>
      </c>
      <c r="I20" s="15">
        <v>0</v>
      </c>
      <c r="J20" s="15">
        <f t="shared" si="11"/>
        <v>10259.201061860056</v>
      </c>
      <c r="K20" s="15">
        <f t="shared" si="0"/>
        <v>1.9663468701898441</v>
      </c>
      <c r="L20" s="15">
        <f t="shared" si="1"/>
        <v>10259.201061860056</v>
      </c>
      <c r="M20" s="15">
        <f t="shared" si="2"/>
        <v>2.1373335545541785</v>
      </c>
      <c r="N20" s="15">
        <f t="shared" si="3"/>
        <v>4.1036804247440228</v>
      </c>
      <c r="O20" s="15">
        <f t="shared" si="12"/>
        <v>-43.329969319529503</v>
      </c>
      <c r="P20" s="15">
        <f t="shared" si="8"/>
        <v>10259.201061860056</v>
      </c>
      <c r="Q20" s="16">
        <f t="shared" si="13"/>
        <v>4.9999999999998206E-3</v>
      </c>
      <c r="R20" s="17">
        <f t="shared" si="9"/>
        <v>11221.750286017059</v>
      </c>
      <c r="S20" s="10" t="s">
        <v>24</v>
      </c>
      <c r="T20" s="10">
        <f t="shared" si="19"/>
        <v>15</v>
      </c>
      <c r="U20" s="20">
        <f t="shared" si="19"/>
        <v>15</v>
      </c>
      <c r="V20" s="15">
        <v>0</v>
      </c>
      <c r="W20" s="15">
        <f t="shared" si="14"/>
        <v>1006.1726605025115</v>
      </c>
      <c r="X20" s="15">
        <f t="shared" si="4"/>
        <v>8.3847721708542614E-2</v>
      </c>
      <c r="Y20" s="15">
        <f t="shared" si="5"/>
        <v>1006.1726605025115</v>
      </c>
      <c r="Z20" s="15">
        <f t="shared" si="6"/>
        <v>0.20961930427135655</v>
      </c>
      <c r="AA20" s="15">
        <f t="shared" si="7"/>
        <v>0.29346702597989915</v>
      </c>
      <c r="AB20" s="15">
        <f t="shared" si="15"/>
        <v>-43.623436345509404</v>
      </c>
      <c r="AC20" s="15">
        <f t="shared" si="17"/>
        <v>962.54922415700207</v>
      </c>
      <c r="AD20" s="16">
        <f t="shared" si="16"/>
        <v>6.3276955010800086E-4</v>
      </c>
    </row>
    <row r="21" spans="2:30" x14ac:dyDescent="0.35">
      <c r="B21" s="6" t="s">
        <v>6</v>
      </c>
      <c r="C21" s="22" t="s">
        <v>38</v>
      </c>
      <c r="D21" s="23"/>
      <c r="F21" s="10" t="s">
        <v>26</v>
      </c>
      <c r="G21" s="10">
        <f t="shared" si="18"/>
        <v>16</v>
      </c>
      <c r="H21" s="20">
        <f t="shared" si="18"/>
        <v>16</v>
      </c>
      <c r="I21" s="15">
        <v>0</v>
      </c>
      <c r="J21" s="15">
        <f t="shared" si="11"/>
        <v>10310.497067169355</v>
      </c>
      <c r="K21" s="15">
        <f t="shared" si="0"/>
        <v>1.9761786045407932</v>
      </c>
      <c r="L21" s="15">
        <f t="shared" si="1"/>
        <v>10310.497067169355</v>
      </c>
      <c r="M21" s="15">
        <f t="shared" si="2"/>
        <v>2.1480202223269491</v>
      </c>
      <c r="N21" s="15">
        <f t="shared" si="3"/>
        <v>4.1241988268677421</v>
      </c>
      <c r="O21" s="15">
        <f t="shared" si="12"/>
        <v>-47.747635172377144</v>
      </c>
      <c r="P21" s="15">
        <f t="shared" si="8"/>
        <v>10310.497067169355</v>
      </c>
      <c r="Q21" s="16">
        <f t="shared" si="13"/>
        <v>4.999999999999903E-3</v>
      </c>
      <c r="R21" s="17">
        <f t="shared" si="9"/>
        <v>11273.658021440893</v>
      </c>
      <c r="S21" s="10" t="s">
        <v>26</v>
      </c>
      <c r="T21" s="10">
        <f t="shared" si="19"/>
        <v>16</v>
      </c>
      <c r="U21" s="20">
        <f t="shared" si="19"/>
        <v>16</v>
      </c>
      <c r="V21" s="15">
        <v>0</v>
      </c>
      <c r="W21" s="15">
        <f t="shared" si="14"/>
        <v>1011.2035238050239</v>
      </c>
      <c r="X21" s="15">
        <f t="shared" si="4"/>
        <v>8.4266960317085318E-2</v>
      </c>
      <c r="Y21" s="15">
        <f t="shared" si="5"/>
        <v>1011.2035238050239</v>
      </c>
      <c r="Z21" s="15">
        <f t="shared" si="6"/>
        <v>0.21066740079271332</v>
      </c>
      <c r="AA21" s="15">
        <f t="shared" si="7"/>
        <v>0.29493436110979865</v>
      </c>
      <c r="AB21" s="15">
        <f t="shared" si="15"/>
        <v>-48.04256953348694</v>
      </c>
      <c r="AC21" s="15">
        <f t="shared" si="17"/>
        <v>963.16095427153698</v>
      </c>
      <c r="AD21" s="16">
        <f t="shared" si="16"/>
        <v>6.3553125303348408E-4</v>
      </c>
    </row>
    <row r="22" spans="2:30" x14ac:dyDescent="0.35">
      <c r="B22" s="6" t="s">
        <v>39</v>
      </c>
      <c r="C22" s="8">
        <v>1E-3</v>
      </c>
      <c r="D22" s="8">
        <f>C22/12</f>
        <v>8.3333333333333331E-5</v>
      </c>
      <c r="F22" s="10" t="s">
        <v>27</v>
      </c>
      <c r="G22" s="10">
        <f t="shared" si="18"/>
        <v>17</v>
      </c>
      <c r="H22" s="24">
        <f t="shared" si="18"/>
        <v>17</v>
      </c>
      <c r="I22" s="15">
        <v>333.33300000000003</v>
      </c>
      <c r="J22" s="15">
        <f t="shared" si="11"/>
        <v>10362.049552505201</v>
      </c>
      <c r="K22" s="15">
        <f t="shared" si="0"/>
        <v>1.9860594975634969</v>
      </c>
      <c r="L22" s="15">
        <f t="shared" si="1"/>
        <v>10695.382552505202</v>
      </c>
      <c r="M22" s="15">
        <f t="shared" si="2"/>
        <v>2.2282046984385837</v>
      </c>
      <c r="N22" s="15">
        <f t="shared" si="3"/>
        <v>4.2142641960020804</v>
      </c>
      <c r="O22" s="15">
        <f t="shared" si="12"/>
        <v>-52.256833729489017</v>
      </c>
      <c r="P22" s="15">
        <f t="shared" si="8"/>
        <v>10695.382552505202</v>
      </c>
      <c r="Q22" s="16">
        <f t="shared" si="13"/>
        <v>3.7329479153958255E-2</v>
      </c>
      <c r="R22" s="17">
        <f t="shared" si="9"/>
        <v>11992.352406791846</v>
      </c>
      <c r="S22" s="10" t="s">
        <v>27</v>
      </c>
      <c r="T22" s="10">
        <f t="shared" si="19"/>
        <v>17</v>
      </c>
      <c r="U22" s="24">
        <f t="shared" si="19"/>
        <v>17</v>
      </c>
      <c r="V22" s="15">
        <v>333.33300000000003</v>
      </c>
      <c r="W22" s="15">
        <f t="shared" si="14"/>
        <v>1016.259541424049</v>
      </c>
      <c r="X22" s="15">
        <f t="shared" si="4"/>
        <v>8.4688295118670751E-2</v>
      </c>
      <c r="Y22" s="15">
        <f t="shared" si="5"/>
        <v>1349.5925414240489</v>
      </c>
      <c r="Z22" s="15">
        <f t="shared" si="6"/>
        <v>0.28116511279667689</v>
      </c>
      <c r="AA22" s="15">
        <f t="shared" si="7"/>
        <v>0.36585340791534765</v>
      </c>
      <c r="AB22" s="15">
        <f t="shared" si="15"/>
        <v>-52.622687137404363</v>
      </c>
      <c r="AC22" s="15">
        <f t="shared" si="17"/>
        <v>1296.9698542866445</v>
      </c>
      <c r="AD22" s="16">
        <f t="shared" si="16"/>
        <v>0.34657644554079292</v>
      </c>
    </row>
    <row r="23" spans="2:30" x14ac:dyDescent="0.35">
      <c r="B23" s="6" t="s">
        <v>21</v>
      </c>
      <c r="C23" s="8">
        <v>0.06</v>
      </c>
      <c r="D23" s="8">
        <f>C23/12</f>
        <v>5.0000000000000001E-3</v>
      </c>
      <c r="F23" s="10" t="s">
        <v>28</v>
      </c>
      <c r="G23" s="10">
        <f t="shared" si="18"/>
        <v>18</v>
      </c>
      <c r="H23" s="24">
        <f t="shared" si="18"/>
        <v>18</v>
      </c>
      <c r="I23" s="15">
        <v>333.33300000000003</v>
      </c>
      <c r="J23" s="15">
        <f t="shared" si="11"/>
        <v>10748.859465267726</v>
      </c>
      <c r="K23" s="15">
        <f t="shared" si="0"/>
        <v>2.0601980641763142</v>
      </c>
      <c r="L23" s="15">
        <f t="shared" si="1"/>
        <v>11082.192465267726</v>
      </c>
      <c r="M23" s="15">
        <f t="shared" si="2"/>
        <v>2.3087900969307764</v>
      </c>
      <c r="N23" s="15">
        <f t="shared" si="3"/>
        <v>4.3689881611070902</v>
      </c>
      <c r="O23" s="15">
        <f t="shared" si="12"/>
        <v>-56.991675298511453</v>
      </c>
      <c r="P23" s="15">
        <f t="shared" si="8"/>
        <v>11082.192465267726</v>
      </c>
      <c r="Q23" s="16">
        <f t="shared" si="13"/>
        <v>3.6166066137757864E-2</v>
      </c>
      <c r="R23" s="17">
        <f t="shared" si="9"/>
        <v>12714.409250411678</v>
      </c>
      <c r="S23" s="10" t="s">
        <v>28</v>
      </c>
      <c r="T23" s="10">
        <f t="shared" si="19"/>
        <v>18</v>
      </c>
      <c r="U23" s="24">
        <f t="shared" si="19"/>
        <v>18</v>
      </c>
      <c r="V23" s="15">
        <v>333.33300000000003</v>
      </c>
      <c r="W23" s="15">
        <f t="shared" si="14"/>
        <v>1356.3405041311689</v>
      </c>
      <c r="X23" s="15">
        <f t="shared" si="4"/>
        <v>0.11302837534426408</v>
      </c>
      <c r="Y23" s="15">
        <f t="shared" si="5"/>
        <v>1689.673504131169</v>
      </c>
      <c r="Z23" s="15">
        <f t="shared" si="6"/>
        <v>0.35201531336066022</v>
      </c>
      <c r="AA23" s="15">
        <f t="shared" si="7"/>
        <v>0.4650436887049243</v>
      </c>
      <c r="AB23" s="15">
        <f t="shared" si="15"/>
        <v>-57.456718987216377</v>
      </c>
      <c r="AC23" s="15">
        <f t="shared" si="17"/>
        <v>1632.2167851439526</v>
      </c>
      <c r="AD23" s="16">
        <f t="shared" si="16"/>
        <v>0.25848475178453523</v>
      </c>
    </row>
    <row r="24" spans="2:30" x14ac:dyDescent="0.35">
      <c r="B24" s="6" t="s">
        <v>23</v>
      </c>
      <c r="C24" s="18">
        <v>450.43</v>
      </c>
      <c r="D24" s="6"/>
      <c r="F24" s="10" t="s">
        <v>30</v>
      </c>
      <c r="G24" s="10">
        <f t="shared" si="18"/>
        <v>19</v>
      </c>
      <c r="H24" s="24">
        <f t="shared" si="18"/>
        <v>19</v>
      </c>
      <c r="I24" s="15">
        <v>333.33300000000003</v>
      </c>
      <c r="J24" s="15">
        <f t="shared" si="11"/>
        <v>11137.603427594064</v>
      </c>
      <c r="K24" s="15">
        <f t="shared" si="0"/>
        <v>2.1347073236221958</v>
      </c>
      <c r="L24" s="15">
        <f t="shared" si="1"/>
        <v>11470.936427594064</v>
      </c>
      <c r="M24" s="15">
        <f t="shared" si="2"/>
        <v>2.3897784224154304</v>
      </c>
      <c r="N24" s="15">
        <f t="shared" si="3"/>
        <v>4.5244857460376267</v>
      </c>
      <c r="O24" s="15">
        <f t="shared" si="12"/>
        <v>-61.981204733254003</v>
      </c>
      <c r="P24" s="15">
        <f t="shared" si="8"/>
        <v>11470.936427594064</v>
      </c>
      <c r="Q24" s="16">
        <f t="shared" si="13"/>
        <v>3.5078254013787037E-2</v>
      </c>
      <c r="R24" s="17">
        <f t="shared" si="9"/>
        <v>13439.845364591736</v>
      </c>
      <c r="S24" s="10" t="s">
        <v>30</v>
      </c>
      <c r="T24" s="10">
        <f t="shared" si="19"/>
        <v>19</v>
      </c>
      <c r="U24" s="24">
        <f t="shared" si="19"/>
        <v>19</v>
      </c>
      <c r="V24" s="15">
        <v>333.33300000000003</v>
      </c>
      <c r="W24" s="15">
        <f t="shared" si="14"/>
        <v>1698.1218716518247</v>
      </c>
      <c r="X24" s="15">
        <f t="shared" si="4"/>
        <v>0.14151015597098537</v>
      </c>
      <c r="Y24" s="15">
        <f t="shared" si="5"/>
        <v>2031.4548716518248</v>
      </c>
      <c r="Z24" s="15">
        <f t="shared" si="6"/>
        <v>0.42321976492746349</v>
      </c>
      <c r="AA24" s="15">
        <f t="shared" si="7"/>
        <v>0.56472992089844887</v>
      </c>
      <c r="AB24" s="15">
        <f t="shared" si="15"/>
        <v>-62.545934654152454</v>
      </c>
      <c r="AC24" s="15">
        <f t="shared" si="17"/>
        <v>1968.9089369976723</v>
      </c>
      <c r="AD24" s="16">
        <f t="shared" si="16"/>
        <v>0.20627906471628724</v>
      </c>
    </row>
    <row r="25" spans="2:30" x14ac:dyDescent="0.35">
      <c r="B25" s="6" t="s">
        <v>25</v>
      </c>
      <c r="C25" s="6"/>
      <c r="D25" s="6"/>
      <c r="F25" s="10" t="s">
        <v>32</v>
      </c>
      <c r="G25" s="10">
        <f t="shared" si="18"/>
        <v>20</v>
      </c>
      <c r="H25" s="24">
        <f t="shared" si="18"/>
        <v>20</v>
      </c>
      <c r="I25" s="15">
        <v>333.33300000000003</v>
      </c>
      <c r="J25" s="15">
        <f t="shared" si="11"/>
        <v>11528.291109732034</v>
      </c>
      <c r="K25" s="15">
        <f t="shared" si="0"/>
        <v>2.2095891293653067</v>
      </c>
      <c r="L25" s="15">
        <f t="shared" si="1"/>
        <v>11861.624109732034</v>
      </c>
      <c r="M25" s="15">
        <f t="shared" si="2"/>
        <v>2.4711716895275075</v>
      </c>
      <c r="N25" s="15">
        <f t="shared" si="3"/>
        <v>4.6807608188928143</v>
      </c>
      <c r="O25" s="15">
        <f t="shared" si="12"/>
        <v>-67.226695473045268</v>
      </c>
      <c r="P25" s="15">
        <f t="shared" si="8"/>
        <v>11861.624109732034</v>
      </c>
      <c r="Q25" s="16">
        <f t="shared" si="13"/>
        <v>3.4058917909975173E-2</v>
      </c>
      <c r="R25" s="17">
        <f t="shared" si="9"/>
        <v>14168.67764568482</v>
      </c>
      <c r="S25" s="10" t="s">
        <v>32</v>
      </c>
      <c r="T25" s="10">
        <f t="shared" si="19"/>
        <v>20</v>
      </c>
      <c r="U25" s="24">
        <f t="shared" si="19"/>
        <v>20</v>
      </c>
      <c r="V25" s="15">
        <v>333.33300000000003</v>
      </c>
      <c r="W25" s="15">
        <f t="shared" si="14"/>
        <v>2041.6121460100837</v>
      </c>
      <c r="X25" s="15">
        <f t="shared" si="4"/>
        <v>0.17013434550084031</v>
      </c>
      <c r="Y25" s="15">
        <f t="shared" si="5"/>
        <v>2374.9451460100836</v>
      </c>
      <c r="Z25" s="15">
        <f t="shared" si="6"/>
        <v>0.49478023875210075</v>
      </c>
      <c r="AA25" s="15">
        <f t="shared" si="7"/>
        <v>0.66491458425294103</v>
      </c>
      <c r="AB25" s="15">
        <f t="shared" si="15"/>
        <v>-67.891610057298209</v>
      </c>
      <c r="AC25" s="15">
        <f t="shared" si="17"/>
        <v>2307.0535359527853</v>
      </c>
      <c r="AD25" s="16">
        <f t="shared" si="16"/>
        <v>0.17174212204589773</v>
      </c>
    </row>
    <row r="26" spans="2:30" x14ac:dyDescent="0.35">
      <c r="B26" s="6" t="s">
        <v>16</v>
      </c>
      <c r="C26" s="6" t="s">
        <v>40</v>
      </c>
      <c r="D26" s="6"/>
      <c r="F26" s="10" t="s">
        <v>34</v>
      </c>
      <c r="G26" s="10">
        <f t="shared" si="18"/>
        <v>21</v>
      </c>
      <c r="H26" s="24">
        <f t="shared" si="18"/>
        <v>21</v>
      </c>
      <c r="I26" s="15">
        <v>333.33300000000003</v>
      </c>
      <c r="J26" s="15">
        <f t="shared" si="11"/>
        <v>11920.932230280694</v>
      </c>
      <c r="K26" s="15">
        <f t="shared" si="0"/>
        <v>2.2848453441371332</v>
      </c>
      <c r="L26" s="15">
        <f t="shared" si="1"/>
        <v>12254.265230280695</v>
      </c>
      <c r="M26" s="15">
        <f t="shared" si="2"/>
        <v>2.5529719229751451</v>
      </c>
      <c r="N26" s="15">
        <f t="shared" si="3"/>
        <v>4.8378172671122783</v>
      </c>
      <c r="O26" s="15">
        <f t="shared" si="12"/>
        <v>-72.729427324410494</v>
      </c>
      <c r="P26" s="15">
        <f t="shared" si="8"/>
        <v>12254.265230280695</v>
      </c>
      <c r="Q26" s="16">
        <f t="shared" si="13"/>
        <v>3.3101800977364669E-2</v>
      </c>
      <c r="R26" s="17">
        <f t="shared" si="9"/>
        <v>14900.923074525494</v>
      </c>
      <c r="S26" s="10" t="s">
        <v>34</v>
      </c>
      <c r="T26" s="10">
        <f t="shared" si="19"/>
        <v>21</v>
      </c>
      <c r="U26" s="24">
        <f t="shared" si="19"/>
        <v>21</v>
      </c>
      <c r="V26" s="15">
        <v>333.33300000000003</v>
      </c>
      <c r="W26" s="15">
        <f t="shared" si="14"/>
        <v>2386.8198717401337</v>
      </c>
      <c r="X26" s="15">
        <f t="shared" si="4"/>
        <v>0.19890165597834447</v>
      </c>
      <c r="Y26" s="15">
        <f t="shared" si="5"/>
        <v>2720.1528717401338</v>
      </c>
      <c r="Z26" s="15">
        <f t="shared" si="6"/>
        <v>0.56669851494586121</v>
      </c>
      <c r="AA26" s="15">
        <f t="shared" si="7"/>
        <v>0.76560017092420574</v>
      </c>
      <c r="AB26" s="15">
        <f t="shared" si="15"/>
        <v>-73.495027495334696</v>
      </c>
      <c r="AC26" s="15">
        <f t="shared" si="17"/>
        <v>2646.657844244799</v>
      </c>
      <c r="AD26" s="16">
        <f t="shared" si="16"/>
        <v>0.14720261276978178</v>
      </c>
    </row>
    <row r="27" spans="2:30" x14ac:dyDescent="0.35">
      <c r="F27" s="10" t="s">
        <v>35</v>
      </c>
      <c r="G27" s="10">
        <f t="shared" si="18"/>
        <v>22</v>
      </c>
      <c r="H27" s="24">
        <f t="shared" si="18"/>
        <v>22</v>
      </c>
      <c r="I27" s="15">
        <v>333.33300000000003</v>
      </c>
      <c r="J27" s="15">
        <f t="shared" si="11"/>
        <v>12315.536556432096</v>
      </c>
      <c r="K27" s="15">
        <f t="shared" si="0"/>
        <v>2.3604778399828183</v>
      </c>
      <c r="L27" s="15">
        <f t="shared" si="1"/>
        <v>12648.869556432097</v>
      </c>
      <c r="M27" s="15">
        <f t="shared" si="2"/>
        <v>2.6351811575900204</v>
      </c>
      <c r="N27" s="15">
        <f t="shared" si="3"/>
        <v>4.9956589975728392</v>
      </c>
      <c r="O27" s="15">
        <f t="shared" si="12"/>
        <v>-78.490686492907543</v>
      </c>
      <c r="P27" s="15">
        <f t="shared" si="8"/>
        <v>12648.869556432097</v>
      </c>
      <c r="Q27" s="16">
        <f t="shared" si="13"/>
        <v>3.2201386108105606E-2</v>
      </c>
      <c r="R27" s="17">
        <f t="shared" si="9"/>
        <v>15636.598716852495</v>
      </c>
      <c r="S27" s="10" t="s">
        <v>35</v>
      </c>
      <c r="T27" s="10">
        <f t="shared" si="19"/>
        <v>22</v>
      </c>
      <c r="U27" s="24">
        <f t="shared" si="19"/>
        <v>22</v>
      </c>
      <c r="V27" s="15">
        <v>333.33300000000003</v>
      </c>
      <c r="W27" s="15">
        <f t="shared" si="14"/>
        <v>2733.7536360988342</v>
      </c>
      <c r="X27" s="15">
        <f t="shared" si="4"/>
        <v>0.22781280300823617</v>
      </c>
      <c r="Y27" s="15">
        <f t="shared" si="5"/>
        <v>3067.0866360988343</v>
      </c>
      <c r="Z27" s="15">
        <f t="shared" si="6"/>
        <v>0.63897638252059052</v>
      </c>
      <c r="AA27" s="15">
        <f t="shared" si="7"/>
        <v>0.86678918552882667</v>
      </c>
      <c r="AB27" s="15">
        <f t="shared" si="15"/>
        <v>-79.357475678436373</v>
      </c>
      <c r="AC27" s="15">
        <f t="shared" si="17"/>
        <v>2987.7291604203979</v>
      </c>
      <c r="AD27" s="16">
        <f t="shared" si="16"/>
        <v>0.12886868505396876</v>
      </c>
    </row>
    <row r="28" spans="2:30" x14ac:dyDescent="0.35">
      <c r="F28" s="10" t="s">
        <v>36</v>
      </c>
      <c r="G28" s="10">
        <f t="shared" si="18"/>
        <v>23</v>
      </c>
      <c r="H28" s="24">
        <f t="shared" si="18"/>
        <v>23</v>
      </c>
      <c r="I28" s="15">
        <v>333.33300000000003</v>
      </c>
      <c r="J28" s="15">
        <f t="shared" si="11"/>
        <v>12712.113904214257</v>
      </c>
      <c r="K28" s="15">
        <f t="shared" si="0"/>
        <v>2.4364884983077326</v>
      </c>
      <c r="L28" s="15">
        <f t="shared" si="1"/>
        <v>13045.446904214257</v>
      </c>
      <c r="M28" s="15">
        <f t="shared" si="2"/>
        <v>2.7178014383779705</v>
      </c>
      <c r="N28" s="15">
        <f t="shared" si="3"/>
        <v>5.1542899366857036</v>
      </c>
      <c r="O28" s="15">
        <f t="shared" si="12"/>
        <v>-84.511765615122073</v>
      </c>
      <c r="P28" s="15">
        <f t="shared" si="8"/>
        <v>13045.446904214257</v>
      </c>
      <c r="Q28" s="16">
        <f t="shared" si="13"/>
        <v>3.1352789750329603E-2</v>
      </c>
      <c r="R28" s="17">
        <f t="shared" si="9"/>
        <v>16375.721723733257</v>
      </c>
      <c r="S28" s="10" t="s">
        <v>36</v>
      </c>
      <c r="T28" s="10">
        <f t="shared" si="19"/>
        <v>23</v>
      </c>
      <c r="U28" s="24">
        <f t="shared" si="19"/>
        <v>23</v>
      </c>
      <c r="V28" s="15">
        <v>333.33300000000003</v>
      </c>
      <c r="W28" s="15">
        <f t="shared" si="14"/>
        <v>3082.4220692793283</v>
      </c>
      <c r="X28" s="15">
        <f t="shared" si="4"/>
        <v>0.25686850577327736</v>
      </c>
      <c r="Y28" s="15">
        <f t="shared" si="5"/>
        <v>3415.7550692793284</v>
      </c>
      <c r="Z28" s="15">
        <f t="shared" si="6"/>
        <v>0.7116156394331935</v>
      </c>
      <c r="AA28" s="15">
        <f t="shared" si="7"/>
        <v>0.96848414520647086</v>
      </c>
      <c r="AB28" s="15">
        <f t="shared" si="15"/>
        <v>-85.480249760328547</v>
      </c>
      <c r="AC28" s="15">
        <f t="shared" si="17"/>
        <v>3330.2748195189997</v>
      </c>
      <c r="AD28" s="16">
        <f t="shared" si="16"/>
        <v>0.11465084038956291</v>
      </c>
    </row>
    <row r="29" spans="2:30" x14ac:dyDescent="0.35">
      <c r="F29" s="10" t="s">
        <v>37</v>
      </c>
      <c r="G29" s="10">
        <f t="shared" si="18"/>
        <v>24</v>
      </c>
      <c r="H29" s="24">
        <f t="shared" si="18"/>
        <v>24</v>
      </c>
      <c r="I29" s="15">
        <v>333.33300000000003</v>
      </c>
      <c r="J29" s="15">
        <f t="shared" si="11"/>
        <v>13110.674138735327</v>
      </c>
      <c r="K29" s="15">
        <f t="shared" si="0"/>
        <v>2.5128792099242712</v>
      </c>
      <c r="L29" s="15">
        <f t="shared" si="1"/>
        <v>13444.007138735327</v>
      </c>
      <c r="M29" s="15">
        <f t="shared" si="2"/>
        <v>2.8008348205698601</v>
      </c>
      <c r="N29" s="15">
        <f t="shared" si="3"/>
        <v>5.3137140304941308</v>
      </c>
      <c r="O29" s="15">
        <f t="shared" si="12"/>
        <v>-90.793963790822673</v>
      </c>
      <c r="P29" s="15">
        <f t="shared" si="8"/>
        <v>13444.007138735327</v>
      </c>
      <c r="Q29" s="16">
        <f t="shared" si="13"/>
        <v>3.0551673503214166E-2</v>
      </c>
      <c r="R29" s="17">
        <f t="shared" si="9"/>
        <v>17118.309331990546</v>
      </c>
      <c r="S29" s="10" t="s">
        <v>37</v>
      </c>
      <c r="T29" s="10">
        <f t="shared" si="19"/>
        <v>24</v>
      </c>
      <c r="U29" s="24">
        <f t="shared" si="19"/>
        <v>24</v>
      </c>
      <c r="V29" s="15">
        <v>333.33300000000003</v>
      </c>
      <c r="W29" s="15">
        <f t="shared" si="14"/>
        <v>3432.8338446257249</v>
      </c>
      <c r="X29" s="15">
        <f t="shared" si="4"/>
        <v>0.28606948705214374</v>
      </c>
      <c r="Y29" s="15">
        <f t="shared" si="5"/>
        <v>3766.1668446257249</v>
      </c>
      <c r="Z29" s="15">
        <f t="shared" si="6"/>
        <v>0.78461809263035942</v>
      </c>
      <c r="AA29" s="15">
        <f t="shared" si="7"/>
        <v>1.0706875796825033</v>
      </c>
      <c r="AB29" s="15">
        <f t="shared" si="15"/>
        <v>-91.864651370505172</v>
      </c>
      <c r="AC29" s="15">
        <f t="shared" si="17"/>
        <v>3674.3021932552197</v>
      </c>
      <c r="AD29" s="16">
        <f t="shared" si="16"/>
        <v>0.10330299821499678</v>
      </c>
    </row>
    <row r="30" spans="2:30" x14ac:dyDescent="0.35">
      <c r="F30" s="10" t="s">
        <v>20</v>
      </c>
      <c r="G30" s="10">
        <f t="shared" si="18"/>
        <v>25</v>
      </c>
      <c r="H30" s="24">
        <f t="shared" si="18"/>
        <v>25</v>
      </c>
      <c r="I30" s="15">
        <v>333.33300000000003</v>
      </c>
      <c r="J30" s="15">
        <f t="shared" si="11"/>
        <v>13511.227174429003</v>
      </c>
      <c r="K30" s="15">
        <f t="shared" si="0"/>
        <v>2.5896518750988924</v>
      </c>
      <c r="L30" s="15">
        <f t="shared" si="1"/>
        <v>13844.560174429003</v>
      </c>
      <c r="M30" s="15">
        <f t="shared" si="2"/>
        <v>2.8842833696727093</v>
      </c>
      <c r="N30" s="15">
        <f t="shared" si="3"/>
        <v>5.4739352447716012</v>
      </c>
      <c r="O30" s="15">
        <f t="shared" si="12"/>
        <v>-97.338586615276768</v>
      </c>
      <c r="P30" s="15">
        <f t="shared" si="8"/>
        <v>13844.560174429003</v>
      </c>
      <c r="Q30" s="16">
        <f t="shared" si="13"/>
        <v>2.9794170113134583E-2</v>
      </c>
      <c r="R30" s="17">
        <f t="shared" si="9"/>
        <v>17864.37886463125</v>
      </c>
      <c r="S30" s="10" t="s">
        <v>20</v>
      </c>
      <c r="T30" s="10">
        <f t="shared" si="19"/>
        <v>25</v>
      </c>
      <c r="U30" s="24">
        <f t="shared" si="19"/>
        <v>25</v>
      </c>
      <c r="V30" s="15">
        <v>333.33300000000003</v>
      </c>
      <c r="W30" s="15">
        <f t="shared" si="14"/>
        <v>3784.997678848853</v>
      </c>
      <c r="X30" s="15">
        <f t="shared" si="4"/>
        <v>0.3154164732374044</v>
      </c>
      <c r="Y30" s="15">
        <f t="shared" si="5"/>
        <v>4118.3306788488526</v>
      </c>
      <c r="Z30" s="15">
        <f t="shared" si="6"/>
        <v>0.85798555809351096</v>
      </c>
      <c r="AA30" s="15">
        <f t="shared" si="7"/>
        <v>1.1734020313309155</v>
      </c>
      <c r="AB30" s="15">
        <f t="shared" si="15"/>
        <v>-98.511988646607676</v>
      </c>
      <c r="AC30" s="15">
        <f t="shared" si="17"/>
        <v>4019.8186902022449</v>
      </c>
      <c r="AD30" s="16">
        <f t="shared" si="16"/>
        <v>9.4035949895813417E-2</v>
      </c>
    </row>
    <row r="31" spans="2:30" x14ac:dyDescent="0.35">
      <c r="F31" s="10" t="s">
        <v>22</v>
      </c>
      <c r="G31" s="10">
        <f t="shared" si="18"/>
        <v>26</v>
      </c>
      <c r="H31" s="24">
        <f t="shared" si="18"/>
        <v>26</v>
      </c>
      <c r="I31" s="15">
        <v>333.33300000000003</v>
      </c>
      <c r="J31" s="15">
        <f t="shared" si="11"/>
        <v>13913.782975301147</v>
      </c>
      <c r="K31" s="15">
        <f t="shared" si="0"/>
        <v>2.6668084035993864</v>
      </c>
      <c r="L31" s="15">
        <f t="shared" si="1"/>
        <v>14247.115975301147</v>
      </c>
      <c r="M31" s="15">
        <f t="shared" si="2"/>
        <v>2.9681491615210724</v>
      </c>
      <c r="N31" s="15">
        <f t="shared" si="3"/>
        <v>5.6349575651204589</v>
      </c>
      <c r="O31" s="15">
        <f t="shared" si="12"/>
        <v>-104.14694621172814</v>
      </c>
      <c r="P31" s="15">
        <f t="shared" si="8"/>
        <v>14247.115975301147</v>
      </c>
      <c r="Q31" s="16">
        <f t="shared" si="13"/>
        <v>2.9076821206329612E-2</v>
      </c>
      <c r="R31" s="17">
        <f t="shared" si="9"/>
        <v>18613.947731277276</v>
      </c>
      <c r="S31" s="10" t="s">
        <v>22</v>
      </c>
      <c r="T31" s="10">
        <f t="shared" si="19"/>
        <v>26</v>
      </c>
      <c r="U31" s="24">
        <f t="shared" si="19"/>
        <v>26</v>
      </c>
      <c r="V31" s="15">
        <v>333.33300000000003</v>
      </c>
      <c r="W31" s="15">
        <f t="shared" si="14"/>
        <v>4138.9223322430962</v>
      </c>
      <c r="X31" s="15">
        <f t="shared" si="4"/>
        <v>0.34491019435359133</v>
      </c>
      <c r="Y31" s="15">
        <f t="shared" si="5"/>
        <v>4472.2553322430958</v>
      </c>
      <c r="Z31" s="15">
        <f t="shared" si="6"/>
        <v>0.9317198608839784</v>
      </c>
      <c r="AA31" s="15">
        <f t="shared" si="7"/>
        <v>1.2766300552375698</v>
      </c>
      <c r="AB31" s="15">
        <f t="shared" si="15"/>
        <v>-105.42357626696571</v>
      </c>
      <c r="AC31" s="15">
        <f t="shared" si="17"/>
        <v>4366.8317559761299</v>
      </c>
      <c r="AD31" s="16">
        <f t="shared" si="16"/>
        <v>8.6325551602534134E-2</v>
      </c>
    </row>
    <row r="32" spans="2:30" x14ac:dyDescent="0.35">
      <c r="F32" s="10" t="s">
        <v>24</v>
      </c>
      <c r="G32" s="10">
        <f t="shared" si="18"/>
        <v>27</v>
      </c>
      <c r="H32" s="24">
        <f t="shared" si="18"/>
        <v>27</v>
      </c>
      <c r="I32" s="15">
        <v>333.33300000000003</v>
      </c>
      <c r="J32" s="15">
        <f t="shared" si="11"/>
        <v>14318.351555177651</v>
      </c>
      <c r="K32" s="15">
        <f t="shared" si="0"/>
        <v>2.7443507147423833</v>
      </c>
      <c r="L32" s="15">
        <f t="shared" si="1"/>
        <v>14651.684555177651</v>
      </c>
      <c r="M32" s="15">
        <f t="shared" si="2"/>
        <v>3.0524342823286776</v>
      </c>
      <c r="N32" s="15">
        <f t="shared" si="3"/>
        <v>5.796784997071061</v>
      </c>
      <c r="O32" s="15">
        <f t="shared" si="12"/>
        <v>-111.22036126403677</v>
      </c>
      <c r="P32" s="15">
        <f t="shared" si="8"/>
        <v>14651.684555177651</v>
      </c>
      <c r="Q32" s="16">
        <f t="shared" si="13"/>
        <v>2.8396524642451564E-2</v>
      </c>
      <c r="R32" s="17">
        <f t="shared" si="9"/>
        <v>19367.033428598661</v>
      </c>
      <c r="S32" s="10" t="s">
        <v>24</v>
      </c>
      <c r="T32" s="10">
        <f t="shared" si="19"/>
        <v>27</v>
      </c>
      <c r="U32" s="24">
        <f t="shared" si="19"/>
        <v>27</v>
      </c>
      <c r="V32" s="15">
        <v>333.33300000000003</v>
      </c>
      <c r="W32" s="15">
        <f t="shared" si="14"/>
        <v>4494.6166089043109</v>
      </c>
      <c r="X32" s="15">
        <f t="shared" si="4"/>
        <v>0.37455138407535921</v>
      </c>
      <c r="Y32" s="15">
        <f t="shared" si="5"/>
        <v>4827.9496089043105</v>
      </c>
      <c r="Z32" s="15">
        <f t="shared" si="6"/>
        <v>1.005822835188398</v>
      </c>
      <c r="AA32" s="15">
        <f t="shared" si="7"/>
        <v>1.3803742192637571</v>
      </c>
      <c r="AB32" s="15">
        <f t="shared" si="15"/>
        <v>-112.60073548330053</v>
      </c>
      <c r="AC32" s="15">
        <f t="shared" si="17"/>
        <v>4715.3488734210096</v>
      </c>
      <c r="AD32" s="16">
        <f t="shared" si="16"/>
        <v>7.9810062974815632E-2</v>
      </c>
    </row>
    <row r="33" spans="6:30" x14ac:dyDescent="0.35">
      <c r="F33" s="10" t="s">
        <v>26</v>
      </c>
      <c r="G33" s="10">
        <f t="shared" si="18"/>
        <v>28</v>
      </c>
      <c r="H33" s="24">
        <f t="shared" si="18"/>
        <v>28</v>
      </c>
      <c r="I33" s="15">
        <v>333.33300000000003</v>
      </c>
      <c r="J33" s="15">
        <f t="shared" si="11"/>
        <v>14724.942977953539</v>
      </c>
      <c r="K33" s="15">
        <f t="shared" si="0"/>
        <v>2.822280737441095</v>
      </c>
      <c r="L33" s="15">
        <f t="shared" si="1"/>
        <v>15058.275977953539</v>
      </c>
      <c r="M33" s="15">
        <f t="shared" si="2"/>
        <v>3.1371408287403209</v>
      </c>
      <c r="N33" s="15">
        <f t="shared" si="3"/>
        <v>5.9594215661814154</v>
      </c>
      <c r="O33" s="15">
        <f t="shared" si="12"/>
        <v>-118.56015704948194</v>
      </c>
      <c r="P33" s="15">
        <f t="shared" si="8"/>
        <v>15058.275977953539</v>
      </c>
      <c r="Q33" s="16">
        <f t="shared" si="13"/>
        <v>2.7750489798267275E-2</v>
      </c>
      <c r="R33" s="17">
        <f t="shared" si="9"/>
        <v>20123.653540748779</v>
      </c>
      <c r="S33" s="10" t="s">
        <v>26</v>
      </c>
      <c r="T33" s="10">
        <f t="shared" si="19"/>
        <v>28</v>
      </c>
      <c r="U33" s="24">
        <f t="shared" si="19"/>
        <v>28</v>
      </c>
      <c r="V33" s="15">
        <v>333.33300000000003</v>
      </c>
      <c r="W33" s="15">
        <f t="shared" si="14"/>
        <v>4852.0893569488317</v>
      </c>
      <c r="X33" s="15">
        <f t="shared" si="4"/>
        <v>0.40434077974573596</v>
      </c>
      <c r="Y33" s="15">
        <f t="shared" si="5"/>
        <v>5185.4223569488313</v>
      </c>
      <c r="Z33" s="15">
        <f t="shared" si="6"/>
        <v>1.08029632436434</v>
      </c>
      <c r="AA33" s="15">
        <f t="shared" si="7"/>
        <v>1.4846371041100759</v>
      </c>
      <c r="AB33" s="15">
        <f t="shared" si="15"/>
        <v>-120.04479415359202</v>
      </c>
      <c r="AC33" s="15">
        <f t="shared" si="17"/>
        <v>5065.3775627952391</v>
      </c>
      <c r="AD33" s="16">
        <f t="shared" si="16"/>
        <v>7.4231769222259464E-2</v>
      </c>
    </row>
    <row r="34" spans="6:30" x14ac:dyDescent="0.35">
      <c r="F34" s="10" t="s">
        <v>27</v>
      </c>
      <c r="G34" s="10">
        <f t="shared" si="18"/>
        <v>29</v>
      </c>
      <c r="H34" s="10">
        <f t="shared" si="18"/>
        <v>29</v>
      </c>
      <c r="I34" s="15">
        <v>333.33300000000003</v>
      </c>
      <c r="J34" s="15">
        <f t="shared" si="11"/>
        <v>15133.567357843305</v>
      </c>
      <c r="K34" s="15">
        <f t="shared" si="0"/>
        <v>2.9006004102533001</v>
      </c>
      <c r="L34" s="15">
        <f t="shared" si="1"/>
        <v>15466.900357843306</v>
      </c>
      <c r="M34" s="15">
        <f t="shared" si="2"/>
        <v>3.2222709078840222</v>
      </c>
      <c r="N34" s="15">
        <f t="shared" si="3"/>
        <v>6.1228713181373227</v>
      </c>
      <c r="O34" s="15">
        <f t="shared" si="12"/>
        <v>-126.16766547172935</v>
      </c>
      <c r="P34" s="15">
        <f t="shared" si="8"/>
        <v>15466.900357843306</v>
      </c>
      <c r="Q34" s="16">
        <f t="shared" si="13"/>
        <v>2.7136199422033696E-2</v>
      </c>
      <c r="R34" s="17">
        <f t="shared" si="9"/>
        <v>20883.82573980177</v>
      </c>
      <c r="S34" s="10" t="s">
        <v>27</v>
      </c>
      <c r="T34" s="10">
        <f t="shared" si="19"/>
        <v>29</v>
      </c>
      <c r="U34" s="10">
        <f t="shared" si="19"/>
        <v>29</v>
      </c>
      <c r="V34" s="15">
        <v>333.33300000000003</v>
      </c>
      <c r="W34" s="15">
        <f t="shared" si="14"/>
        <v>5211.3494687335751</v>
      </c>
      <c r="X34" s="15">
        <f t="shared" si="4"/>
        <v>0.43427912239446459</v>
      </c>
      <c r="Y34" s="15">
        <f t="shared" si="5"/>
        <v>5544.6824687335748</v>
      </c>
      <c r="Z34" s="15">
        <f t="shared" si="6"/>
        <v>1.1551421809861615</v>
      </c>
      <c r="AA34" s="15">
        <f t="shared" si="7"/>
        <v>1.5894213033806261</v>
      </c>
      <c r="AB34" s="15">
        <f t="shared" si="15"/>
        <v>-127.75708677510998</v>
      </c>
      <c r="AC34" s="15">
        <f t="shared" si="17"/>
        <v>5416.9253819584646</v>
      </c>
      <c r="AD34" s="16">
        <f t="shared" si="16"/>
        <v>6.9402095856647278E-2</v>
      </c>
    </row>
    <row r="35" spans="6:30" x14ac:dyDescent="0.35">
      <c r="F35" s="10" t="s">
        <v>28</v>
      </c>
      <c r="G35" s="10">
        <f t="shared" ref="G35:H42" si="20">G34+1</f>
        <v>30</v>
      </c>
      <c r="H35" s="10">
        <f t="shared" si="20"/>
        <v>30</v>
      </c>
      <c r="I35" s="15">
        <v>333.33300000000003</v>
      </c>
      <c r="J35" s="15">
        <f t="shared" si="11"/>
        <v>15544.234859632521</v>
      </c>
      <c r="K35" s="15">
        <f t="shared" si="0"/>
        <v>2.9793116814295666</v>
      </c>
      <c r="L35" s="15">
        <f t="shared" si="1"/>
        <v>15877.567859632522</v>
      </c>
      <c r="M35" s="15">
        <f t="shared" si="2"/>
        <v>3.3078266374234424</v>
      </c>
      <c r="N35" s="15">
        <f t="shared" si="3"/>
        <v>6.2871383188530086</v>
      </c>
      <c r="O35" s="15">
        <f t="shared" si="12"/>
        <v>-134.04422509396298</v>
      </c>
      <c r="P35" s="15">
        <f t="shared" si="8"/>
        <v>15877.567859632522</v>
      </c>
      <c r="Q35" s="16">
        <f t="shared" si="13"/>
        <v>2.6551376959053415E-2</v>
      </c>
      <c r="R35" s="17">
        <f t="shared" si="9"/>
        <v>21647.567786192154</v>
      </c>
      <c r="S35" s="10" t="s">
        <v>28</v>
      </c>
      <c r="T35" s="10">
        <f t="shared" ref="T35:U42" si="21">T34+1</f>
        <v>30</v>
      </c>
      <c r="U35" s="10">
        <f t="shared" si="21"/>
        <v>30</v>
      </c>
      <c r="V35" s="15">
        <v>333.33300000000003</v>
      </c>
      <c r="W35" s="15">
        <f t="shared" si="14"/>
        <v>5572.4058810772422</v>
      </c>
      <c r="X35" s="15">
        <f t="shared" si="4"/>
        <v>0.46436715675643681</v>
      </c>
      <c r="Y35" s="15">
        <f t="shared" si="5"/>
        <v>5905.7388810772418</v>
      </c>
      <c r="Z35" s="15">
        <f t="shared" si="6"/>
        <v>1.2303622668910921</v>
      </c>
      <c r="AA35" s="15">
        <f t="shared" si="7"/>
        <v>1.6947294236475288</v>
      </c>
      <c r="AB35" s="15">
        <f t="shared" si="15"/>
        <v>-135.73895451761049</v>
      </c>
      <c r="AC35" s="15">
        <f t="shared" si="17"/>
        <v>5769.9999265596316</v>
      </c>
      <c r="AD35" s="16">
        <f t="shared" si="16"/>
        <v>6.5179879674383559E-2</v>
      </c>
    </row>
    <row r="36" spans="6:30" x14ac:dyDescent="0.35">
      <c r="F36" s="10" t="s">
        <v>30</v>
      </c>
      <c r="G36" s="10">
        <f t="shared" si="20"/>
        <v>31</v>
      </c>
      <c r="H36" s="10">
        <f t="shared" si="20"/>
        <v>31</v>
      </c>
      <c r="I36" s="15">
        <v>333.33300000000003</v>
      </c>
      <c r="J36" s="15">
        <f t="shared" si="11"/>
        <v>15956.955698930682</v>
      </c>
      <c r="K36" s="15">
        <f t="shared" si="0"/>
        <v>3.0584165089617144</v>
      </c>
      <c r="L36" s="15">
        <f t="shared" si="1"/>
        <v>16290.288698930683</v>
      </c>
      <c r="M36" s="15">
        <f t="shared" si="2"/>
        <v>3.3938101456105589</v>
      </c>
      <c r="N36" s="15">
        <f t="shared" si="3"/>
        <v>6.4522266545722733</v>
      </c>
      <c r="O36" s="15">
        <f t="shared" si="12"/>
        <v>-142.19118117218278</v>
      </c>
      <c r="P36" s="15">
        <f t="shared" si="8"/>
        <v>16290.288698930683</v>
      </c>
      <c r="Q36" s="16">
        <f t="shared" si="13"/>
        <v>2.5993958454271302E-2</v>
      </c>
      <c r="R36" s="17">
        <f t="shared" si="9"/>
        <v>22414.897529156609</v>
      </c>
      <c r="S36" s="10" t="s">
        <v>30</v>
      </c>
      <c r="T36" s="10">
        <f t="shared" si="21"/>
        <v>31</v>
      </c>
      <c r="U36" s="10">
        <f t="shared" si="21"/>
        <v>31</v>
      </c>
      <c r="V36" s="15">
        <v>333.33300000000003</v>
      </c>
      <c r="W36" s="15">
        <f t="shared" si="14"/>
        <v>5935.2675754826278</v>
      </c>
      <c r="X36" s="15">
        <f t="shared" si="4"/>
        <v>0.49460563129021895</v>
      </c>
      <c r="Y36" s="15">
        <f t="shared" si="5"/>
        <v>6268.6005754826274</v>
      </c>
      <c r="Z36" s="15">
        <f t="shared" si="6"/>
        <v>1.3059584532255475</v>
      </c>
      <c r="AA36" s="15">
        <f t="shared" si="7"/>
        <v>1.8005640845157664</v>
      </c>
      <c r="AB36" s="15">
        <f t="shared" si="15"/>
        <v>-143.99174525669855</v>
      </c>
      <c r="AC36" s="15">
        <f t="shared" si="17"/>
        <v>6124.6088302259286</v>
      </c>
      <c r="AD36" s="16">
        <f t="shared" si="16"/>
        <v>6.1457349771186727E-2</v>
      </c>
    </row>
    <row r="37" spans="6:30" x14ac:dyDescent="0.35">
      <c r="F37" s="10" t="s">
        <v>32</v>
      </c>
      <c r="G37" s="10">
        <f t="shared" si="20"/>
        <v>32</v>
      </c>
      <c r="H37" s="10">
        <f t="shared" si="20"/>
        <v>32</v>
      </c>
      <c r="I37" s="15">
        <v>333.33300000000003</v>
      </c>
      <c r="J37" s="15">
        <f t="shared" si="11"/>
        <v>16371.740142425335</v>
      </c>
      <c r="K37" s="15">
        <f t="shared" si="0"/>
        <v>3.1379168606315226</v>
      </c>
      <c r="L37" s="15">
        <f t="shared" si="1"/>
        <v>16705.073142425335</v>
      </c>
      <c r="M37" s="15">
        <f t="shared" si="2"/>
        <v>3.4802235713386116</v>
      </c>
      <c r="N37" s="15">
        <f t="shared" si="3"/>
        <v>6.6181404319701347</v>
      </c>
      <c r="O37" s="15">
        <f t="shared" si="12"/>
        <v>-150.6098856886687</v>
      </c>
      <c r="P37" s="15">
        <f t="shared" si="8"/>
        <v>16705.073142425335</v>
      </c>
      <c r="Q37" s="16">
        <f t="shared" si="13"/>
        <v>2.5462068300967547E-2</v>
      </c>
      <c r="R37" s="17">
        <f t="shared" si="9"/>
        <v>23185.832907178017</v>
      </c>
      <c r="S37" s="10" t="s">
        <v>32</v>
      </c>
      <c r="T37" s="10">
        <f t="shared" si="21"/>
        <v>32</v>
      </c>
      <c r="U37" s="10">
        <f t="shared" si="21"/>
        <v>32</v>
      </c>
      <c r="V37" s="15">
        <v>333.33300000000003</v>
      </c>
      <c r="W37" s="15">
        <f t="shared" si="14"/>
        <v>6299.9435783600402</v>
      </c>
      <c r="X37" s="15">
        <f t="shared" si="4"/>
        <v>0.52499529819667001</v>
      </c>
      <c r="Y37" s="15">
        <f t="shared" si="5"/>
        <v>6633.2765783600398</v>
      </c>
      <c r="Z37" s="15">
        <f t="shared" si="6"/>
        <v>1.3819326204916751</v>
      </c>
      <c r="AA37" s="15">
        <f t="shared" si="7"/>
        <v>1.906927918688345</v>
      </c>
      <c r="AB37" s="15">
        <f t="shared" si="15"/>
        <v>-152.51681360735705</v>
      </c>
      <c r="AC37" s="15">
        <f t="shared" si="17"/>
        <v>6480.7597647526827</v>
      </c>
      <c r="AD37" s="16">
        <f t="shared" si="16"/>
        <v>5.8150805120662077E-2</v>
      </c>
    </row>
    <row r="38" spans="6:30" x14ac:dyDescent="0.35">
      <c r="F38" s="10" t="s">
        <v>34</v>
      </c>
      <c r="G38" s="10">
        <f t="shared" si="20"/>
        <v>33</v>
      </c>
      <c r="H38" s="10">
        <f t="shared" si="20"/>
        <v>33</v>
      </c>
      <c r="I38" s="15">
        <v>333.33300000000003</v>
      </c>
      <c r="J38" s="15">
        <f t="shared" si="11"/>
        <v>16788.59850813746</v>
      </c>
      <c r="K38" s="15">
        <f t="shared" si="0"/>
        <v>3.21781471405968</v>
      </c>
      <c r="L38" s="15">
        <f t="shared" si="1"/>
        <v>17121.931508137459</v>
      </c>
      <c r="M38" s="15">
        <f t="shared" si="2"/>
        <v>3.5670690641953042</v>
      </c>
      <c r="N38" s="15">
        <f t="shared" si="3"/>
        <v>6.7848837782549847</v>
      </c>
      <c r="O38" s="15">
        <f t="shared" si="12"/>
        <v>-159.30169738561204</v>
      </c>
      <c r="P38" s="15">
        <f t="shared" si="8"/>
        <v>17121.931508137459</v>
      </c>
      <c r="Q38" s="16">
        <f t="shared" si="13"/>
        <v>2.4953998235029678E-2</v>
      </c>
      <c r="R38" s="17">
        <f t="shared" si="9"/>
        <v>23960.391948431654</v>
      </c>
      <c r="S38" s="10" t="s">
        <v>34</v>
      </c>
      <c r="T38" s="10">
        <f t="shared" si="21"/>
        <v>33</v>
      </c>
      <c r="U38" s="10">
        <f t="shared" si="21"/>
        <v>33</v>
      </c>
      <c r="V38" s="15">
        <v>333.33300000000003</v>
      </c>
      <c r="W38" s="15">
        <f t="shared" si="14"/>
        <v>6666.4429612518397</v>
      </c>
      <c r="X38" s="15">
        <f t="shared" si="4"/>
        <v>0.55553691343765332</v>
      </c>
      <c r="Y38" s="15">
        <f t="shared" si="5"/>
        <v>6999.7759612518394</v>
      </c>
      <c r="Z38" s="15">
        <f t="shared" si="6"/>
        <v>1.4582866585941332</v>
      </c>
      <c r="AA38" s="15">
        <f t="shared" si="7"/>
        <v>2.0138235720317867</v>
      </c>
      <c r="AB38" s="15">
        <f t="shared" si="15"/>
        <v>-161.31552095764383</v>
      </c>
      <c r="AC38" s="15">
        <f t="shared" si="17"/>
        <v>6838.4604402941959</v>
      </c>
      <c r="AD38" s="16">
        <f t="shared" si="16"/>
        <v>5.5194250138226451E-2</v>
      </c>
    </row>
    <row r="39" spans="6:30" x14ac:dyDescent="0.35">
      <c r="F39" s="10" t="s">
        <v>35</v>
      </c>
      <c r="G39" s="10">
        <f t="shared" si="20"/>
        <v>34</v>
      </c>
      <c r="H39" s="10">
        <f t="shared" si="20"/>
        <v>34</v>
      </c>
      <c r="I39" s="15">
        <v>333.33300000000003</v>
      </c>
      <c r="J39" s="15">
        <f t="shared" si="11"/>
        <v>17207.541165678143</v>
      </c>
      <c r="K39" s="15">
        <f t="shared" si="0"/>
        <v>3.2981120567549778</v>
      </c>
      <c r="L39" s="15">
        <f t="shared" si="1"/>
        <v>17540.874165678142</v>
      </c>
      <c r="M39" s="15">
        <f t="shared" si="2"/>
        <v>3.6543487845162796</v>
      </c>
      <c r="N39" s="15">
        <f t="shared" si="3"/>
        <v>6.9524608412712574</v>
      </c>
      <c r="O39" s="15">
        <f t="shared" si="12"/>
        <v>-168.26798179891509</v>
      </c>
      <c r="P39" s="15">
        <f t="shared" si="8"/>
        <v>17540.874165678142</v>
      </c>
      <c r="Q39" s="16">
        <f t="shared" si="13"/>
        <v>2.4468189079110286E-2</v>
      </c>
      <c r="R39" s="17">
        <f t="shared" si="9"/>
        <v>24738.592771233682</v>
      </c>
      <c r="S39" s="10" t="s">
        <v>35</v>
      </c>
      <c r="T39" s="10">
        <f t="shared" si="21"/>
        <v>34</v>
      </c>
      <c r="U39" s="10">
        <f t="shared" si="21"/>
        <v>34</v>
      </c>
      <c r="V39" s="15">
        <v>333.33300000000003</v>
      </c>
      <c r="W39" s="15">
        <f t="shared" si="14"/>
        <v>7034.774841058098</v>
      </c>
      <c r="X39" s="15">
        <f t="shared" si="4"/>
        <v>0.58623123675484146</v>
      </c>
      <c r="Y39" s="15">
        <f t="shared" si="5"/>
        <v>7368.1078410580976</v>
      </c>
      <c r="Z39" s="15">
        <f t="shared" si="6"/>
        <v>1.5350224668871038</v>
      </c>
      <c r="AA39" s="15">
        <f t="shared" si="7"/>
        <v>2.121253703641945</v>
      </c>
      <c r="AB39" s="15">
        <f t="shared" si="15"/>
        <v>-170.38923550255703</v>
      </c>
      <c r="AC39" s="15">
        <f t="shared" si="17"/>
        <v>7197.7186055555403</v>
      </c>
      <c r="AD39" s="16">
        <f t="shared" si="16"/>
        <v>5.2534948238420871E-2</v>
      </c>
    </row>
    <row r="40" spans="6:30" x14ac:dyDescent="0.35">
      <c r="F40" s="10" t="s">
        <v>36</v>
      </c>
      <c r="G40" s="10">
        <f t="shared" si="20"/>
        <v>35</v>
      </c>
      <c r="H40" s="10">
        <f t="shared" si="20"/>
        <v>35</v>
      </c>
      <c r="I40" s="15">
        <v>333.33300000000003</v>
      </c>
      <c r="J40" s="15">
        <f t="shared" si="11"/>
        <v>17628.578536506531</v>
      </c>
      <c r="K40" s="15">
        <f t="shared" si="0"/>
        <v>3.3788108861637518</v>
      </c>
      <c r="L40" s="15">
        <f t="shared" si="1"/>
        <v>17961.91153650653</v>
      </c>
      <c r="M40" s="15">
        <f t="shared" si="2"/>
        <v>3.7420649034388607</v>
      </c>
      <c r="N40" s="15">
        <f t="shared" si="3"/>
        <v>7.1208757896026125</v>
      </c>
      <c r="O40" s="15">
        <f t="shared" si="12"/>
        <v>-177.51011129215965</v>
      </c>
      <c r="P40" s="15">
        <f t="shared" si="8"/>
        <v>17961.91153650653</v>
      </c>
      <c r="Q40" s="16">
        <f t="shared" si="13"/>
        <v>2.4003214825645505E-2</v>
      </c>
      <c r="R40" s="17">
        <f t="shared" si="9"/>
        <v>25520.453584491846</v>
      </c>
      <c r="S40" s="10" t="s">
        <v>36</v>
      </c>
      <c r="T40" s="10">
        <f t="shared" si="21"/>
        <v>35</v>
      </c>
      <c r="U40" s="10">
        <f t="shared" si="21"/>
        <v>35</v>
      </c>
      <c r="V40" s="15">
        <v>333.33300000000003</v>
      </c>
      <c r="W40" s="15">
        <f t="shared" si="14"/>
        <v>7404.9483802633877</v>
      </c>
      <c r="X40" s="15">
        <f t="shared" si="4"/>
        <v>0.61707903168861566</v>
      </c>
      <c r="Y40" s="15">
        <f t="shared" si="5"/>
        <v>7738.2813802633873</v>
      </c>
      <c r="Z40" s="15">
        <f t="shared" si="6"/>
        <v>1.6121419542215392</v>
      </c>
      <c r="AA40" s="15">
        <f t="shared" si="7"/>
        <v>2.2292209859101551</v>
      </c>
      <c r="AB40" s="15">
        <f t="shared" si="15"/>
        <v>-179.73933227806981</v>
      </c>
      <c r="AC40" s="15">
        <f t="shared" si="17"/>
        <v>7558.5420479853174</v>
      </c>
      <c r="AD40" s="16">
        <f t="shared" si="16"/>
        <v>5.0130251292579905E-2</v>
      </c>
    </row>
    <row r="41" spans="6:30" x14ac:dyDescent="0.35">
      <c r="F41" s="10" t="s">
        <v>37</v>
      </c>
      <c r="G41" s="10">
        <f t="shared" si="20"/>
        <v>36</v>
      </c>
      <c r="H41" s="10">
        <f t="shared" si="20"/>
        <v>36</v>
      </c>
      <c r="I41" s="15">
        <v>333.33300000000003</v>
      </c>
      <c r="J41" s="15">
        <f t="shared" si="11"/>
        <v>18051.721094189059</v>
      </c>
      <c r="K41" s="15">
        <f t="shared" si="0"/>
        <v>3.4599132097195699</v>
      </c>
      <c r="L41" s="15">
        <f t="shared" si="1"/>
        <v>18385.054094189058</v>
      </c>
      <c r="M41" s="15">
        <f t="shared" si="2"/>
        <v>3.830219602956054</v>
      </c>
      <c r="N41" s="15">
        <f t="shared" si="3"/>
        <v>7.2901328126756244</v>
      </c>
      <c r="O41" s="15">
        <f t="shared" si="12"/>
        <v>-187.02946509074545</v>
      </c>
      <c r="P41" s="15">
        <f t="shared" si="8"/>
        <v>18385.054094189058</v>
      </c>
      <c r="Q41" s="16">
        <f t="shared" si="13"/>
        <v>2.3557768716459565E-2</v>
      </c>
      <c r="R41" s="17">
        <f t="shared" si="9"/>
        <v>26305.992688158425</v>
      </c>
      <c r="S41" s="10" t="s">
        <v>37</v>
      </c>
      <c r="T41" s="10">
        <f t="shared" si="21"/>
        <v>36</v>
      </c>
      <c r="U41" s="10">
        <f t="shared" si="21"/>
        <v>36</v>
      </c>
      <c r="V41" s="15">
        <v>333.33300000000003</v>
      </c>
      <c r="W41" s="15">
        <f t="shared" si="14"/>
        <v>7776.9727871647037</v>
      </c>
      <c r="X41" s="15">
        <f t="shared" si="4"/>
        <v>0.64808106559705858</v>
      </c>
      <c r="Y41" s="15">
        <f t="shared" si="5"/>
        <v>8110.3057871647034</v>
      </c>
      <c r="Z41" s="15">
        <f t="shared" si="6"/>
        <v>1.6896470389926466</v>
      </c>
      <c r="AA41" s="15">
        <f t="shared" si="7"/>
        <v>2.3377281045897051</v>
      </c>
      <c r="AB41" s="15">
        <f t="shared" si="15"/>
        <v>-189.36719319533515</v>
      </c>
      <c r="AC41" s="15">
        <f t="shared" si="17"/>
        <v>7920.9385939693684</v>
      </c>
      <c r="AD41" s="16">
        <f t="shared" si="16"/>
        <v>4.7945297344829302E-2</v>
      </c>
    </row>
    <row r="42" spans="6:30" x14ac:dyDescent="0.35">
      <c r="F42" s="10" t="s">
        <v>20</v>
      </c>
      <c r="G42" s="10">
        <f t="shared" si="20"/>
        <v>37</v>
      </c>
      <c r="H42" s="10">
        <f t="shared" si="20"/>
        <v>37</v>
      </c>
      <c r="I42" s="15">
        <v>333.33300000000003</v>
      </c>
      <c r="J42" s="15">
        <f t="shared" si="11"/>
        <v>18476.979364660001</v>
      </c>
      <c r="K42" s="15">
        <f t="shared" si="0"/>
        <v>3.5414210448931671</v>
      </c>
      <c r="L42" s="15">
        <f t="shared" si="1"/>
        <v>18810.31236466</v>
      </c>
      <c r="M42" s="15">
        <f t="shared" si="2"/>
        <v>3.9188150759708336</v>
      </c>
      <c r="N42" s="15">
        <f t="shared" si="3"/>
        <v>7.4602361208640007</v>
      </c>
      <c r="O42" s="15">
        <f t="shared" si="12"/>
        <v>-196.82742931619916</v>
      </c>
      <c r="P42" s="15">
        <f t="shared" si="8"/>
        <v>18810.31236466</v>
      </c>
      <c r="Q42" s="16">
        <f t="shared" si="13"/>
        <v>2.3130651032751269E-2</v>
      </c>
      <c r="R42" s="17">
        <f t="shared" si="9"/>
        <v>27095.228473685464</v>
      </c>
      <c r="S42" s="10" t="s">
        <v>20</v>
      </c>
      <c r="T42" s="10">
        <f t="shared" si="21"/>
        <v>37</v>
      </c>
      <c r="U42" s="10">
        <f t="shared" si="21"/>
        <v>37</v>
      </c>
      <c r="V42" s="15">
        <v>333.33300000000003</v>
      </c>
      <c r="W42" s="15">
        <f t="shared" si="14"/>
        <v>8150.8573161005261</v>
      </c>
      <c r="X42" s="15">
        <f t="shared" si="4"/>
        <v>0.67923810967504383</v>
      </c>
      <c r="Y42" s="15">
        <f t="shared" si="5"/>
        <v>8484.1903161005266</v>
      </c>
      <c r="Z42" s="15">
        <f t="shared" si="6"/>
        <v>1.7675396491876099</v>
      </c>
      <c r="AA42" s="15">
        <f t="shared" si="7"/>
        <v>2.4467777588626536</v>
      </c>
      <c r="AB42" s="15">
        <f t="shared" si="15"/>
        <v>-199.27420707506181</v>
      </c>
      <c r="AC42" s="15">
        <f t="shared" si="17"/>
        <v>8284.9161090254656</v>
      </c>
      <c r="AD42" s="16">
        <f t="shared" si="16"/>
        <v>4.5951311291973988E-2</v>
      </c>
    </row>
  </sheetData>
  <mergeCells count="1"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Inv_Exp_Modeller</vt:lpstr>
      <vt:lpstr>cah</vt:lpstr>
      <vt:lpstr>inv_exp</vt:lpstr>
      <vt:lpstr>man_exp</vt:lpstr>
      <vt:lpstr>mc</vt:lpstr>
      <vt:lpstr>mie</vt:lpstr>
      <vt:lpstr>mir</vt:lpstr>
      <vt:lpstr>mmc</vt:lpstr>
      <vt:lpstr>usie</vt:lpstr>
      <vt:lpstr>yc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Stokes</dc:creator>
  <cp:lastModifiedBy>Jacob Stokes</cp:lastModifiedBy>
  <dcterms:created xsi:type="dcterms:W3CDTF">2026-01-01T15:05:16Z</dcterms:created>
  <dcterms:modified xsi:type="dcterms:W3CDTF">2026-01-01T15:05:52Z</dcterms:modified>
</cp:coreProperties>
</file>